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Notes (Copy-Paste)" sheetId="1" state="visible" r:id="rId3"/>
    <sheet name="ServiceNow Daily Timecard" sheetId="2" state="visible" r:id="rId4"/>
    <sheet name="Deloitte Reconcilia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<sst xmlns="http://schemas.openxmlformats.org/spreadsheetml/2006/main" count="99" uniqueCount="57">
  <si>
    <t xml:space="preserve">ServiceNow Time Card  |  Daily Notes, one day per cell</t>
  </si>
  <si>
    <t xml:space="preserve">Period: 07-Sep-2026 to 11-Sep-2026   |   Mihir Kumar Singh, L45 Security Engineer III, Kolkata   |   Bank of America USEM / VMT, AIT 75624   |   JIRA: SNOWUSEMTP.  Format per ServiceNow time-card guidance: [Line] - [Outcome]. Copy a single cell into that day's time-card comment. Daily hours tie to the Deloitte system of record.</t>
  </si>
  <si>
    <t xml:space="preserve">Date</t>
  </si>
  <si>
    <t xml:space="preserve">Day</t>
  </si>
  <si>
    <t xml:space="preserve">Hours</t>
  </si>
  <si>
    <t xml:space="preserve">Time Card Line</t>
  </si>
  <si>
    <t xml:space="preserve">Time Card Note  (copy one cell per day into ServiceNow)</t>
  </si>
  <si>
    <t xml:space="preserve">07-Sep-2026</t>
  </si>
  <si>
    <t xml:space="preserve">Mon</t>
  </si>
  <si>
    <t xml:space="preserve">Project (8h)</t>
  </si>
  <si>
    <t xml:space="preserve">Configurations - SNOWUSEMTP-895: built the read-only diagnosis harness for the unmatched Qualys hosts and profiled the unmatched population; added three CI lookup rules for the groups the chain could not place (management controllers, network device interfaces and VLANs, load balancer virtual IPs), each accepting a CI only when exactly one candidate remains; proved the chain on nine real unmatched discovered items, all matched. V3.0 captured in a Global update set.</t>
  </si>
  <si>
    <t xml:space="preserve">08-Sep-2026</t>
  </si>
  <si>
    <t xml:space="preserve">Tue</t>
  </si>
  <si>
    <t xml:space="preserve">Design - Primary AIT resolution: design proposal for resolving the Primary AIT and application manager on findings, with benchmarks of the stamping options across vulnerable items, application vulnerable items and container image vulnerable items; recommendation and trade-offs documented for review.</t>
  </si>
  <si>
    <t xml:space="preserve">09-Sep-2026</t>
  </si>
  <si>
    <t xml:space="preserve">Wed</t>
  </si>
  <si>
    <t xml:space="preserve">Documentation - SNOWUSEMTP-895: rewrote the comments on all nineteen Qualys CI lookup rules as short first-hand notes (sample payload in every header, each matching stage walking the sample through, no order numbers), moved the suffix, marker and product lists inline into the three new rules and retired the six lookup properties, and produced the 43-slide technical walkthrough deck. V2.4 and V3.4 delivered; chain behaviour identical before and after.</t>
  </si>
  <si>
    <t xml:space="preserve">10-Sep-2026</t>
  </si>
  <si>
    <t xml:space="preserve">Thu</t>
  </si>
  <si>
    <t xml:space="preserve">Configurations - SNOWUSEMTP-1625: standardised the Kafka producer script include for the CDP outbound (configuration in initialize, topic per table, single error format) and added payload validation ahead of the send so a malformed message is logged and never published; tested per remediation task table with captured sends and every refusal path. Wrote up the outbound REST parameter length limits for the Qualys Policy Compliance integration (setStringParameter, field lengths, request URL) for the story comment.</t>
  </si>
  <si>
    <t xml:space="preserve">11-Sep-2026</t>
  </si>
  <si>
    <t xml:space="preserve">Fri</t>
  </si>
  <si>
    <t xml:space="preserve">Configurations - SNOWUSEMTP-895: investigated the Cisco IOS router matched to a Computer by the Layered DNS rule (router CI without fqdn or dns_domain, discovery chain ending on the wrong CI) and added a class-agreement check to the discovery-chain and hardware-wide rules; retested the case, its variations and the full chain; update set delivered and reply posted. Folded the payload validation into the Kafka producer, returned the CDP field mapping properties to the line format, added standard function comments to the producer and payload builder (V2.5), and produced the plain-English primer on the lookup rules for the demo.</t>
  </si>
  <si>
    <t xml:space="preserve">Week ending 12-Sep carries a single Project line Mon to Fri (8.00h each). See the Reconciliation sheet for the line-by-line tie-out; the Deloitte columns hold the planned 8.00h per day until the approved T&amp;E is available.</t>
  </si>
  <si>
    <t xml:space="preserve">ServiceNow Time Card  |  Daily Activity Log</t>
  </si>
  <si>
    <t xml:space="preserve">Resource: Mihir Kumar Singh   |   Role: Security Engineer III (L45), Kolkata   |   Engagement: Bank of America USEM / VMT   |   AIT: 75624   |   Team: SNow Boarders (34830)</t>
  </si>
  <si>
    <t xml:space="preserve">Period: 07-Sep-2026 to 11-Sep-2026   |   JIRA Project: SNOWUSEMTP   |   Notes format per ServiceNow time-card guidance: [Line] - [Outcome]</t>
  </si>
  <si>
    <t xml:space="preserve">Week Ending</t>
  </si>
  <si>
    <t xml:space="preserve">Activity Type</t>
  </si>
  <si>
    <t xml:space="preserve">Story / Reference</t>
  </si>
  <si>
    <t xml:space="preserve">Timecard Notes</t>
  </si>
  <si>
    <t xml:space="preserve">12-Sep-2026</t>
  </si>
  <si>
    <t xml:space="preserve">Configurations</t>
  </si>
  <si>
    <t xml:space="preserve">SNOWUSEMTP-895</t>
  </si>
  <si>
    <t xml:space="preserve">Design</t>
  </si>
  <si>
    <t xml:space="preserve">Primary AIT resolution</t>
  </si>
  <si>
    <t xml:space="preserve">Documentation</t>
  </si>
  <si>
    <t xml:space="preserve">SNOWUSEMTP-1625</t>
  </si>
  <si>
    <t xml:space="preserve">Week ending 12-Sep-2026  Subtotal</t>
  </si>
  <si>
    <t xml:space="preserve">GRAND TOTAL (07-Sep to 11-Sep)</t>
  </si>
  <si>
    <t xml:space="preserve">Reconciliation:  Deloitte T&amp;E  vs  ServiceNow Time Card</t>
  </si>
  <si>
    <t xml:space="preserve">Deloitte is the system of record. Every daily and weekly total below is computed live and must read MATCH. SN Project + SN Training = Deloitte Worked. SN Sick = Deloitte Absence. The Deloitte columns hold the planned 8.00h per day for the week ending 12-Sep; replace them with the approved T&amp;E figures when available.</t>
  </si>
  <si>
    <t xml:space="preserve">Deloitte Worked
(India Kolkata)</t>
  </si>
  <si>
    <t xml:space="preserve">Deloitte
Absence</t>
  </si>
  <si>
    <t xml:space="preserve">Deloitte
Total</t>
  </si>
  <si>
    <t xml:space="preserve">SN Project</t>
  </si>
  <si>
    <t xml:space="preserve">SN Training</t>
  </si>
  <si>
    <t xml:space="preserve">SN Sick</t>
  </si>
  <si>
    <t xml:space="preserve">SN
Total</t>
  </si>
  <si>
    <t xml:space="preserve">Match</t>
  </si>
  <si>
    <t xml:space="preserve">Week ending 12-Sep-2026</t>
  </si>
  <si>
    <t xml:space="preserve">Subtotal</t>
  </si>
  <si>
    <t xml:space="preserve">GRAND TOTAL</t>
  </si>
  <si>
    <t xml:space="preserve">Source of record: Deloitte T&amp;E timesheet, week ending 12-Sep-2026 (Deloitte columns entered as the planned 8.00h per day; confirm against the approved timesheet).</t>
  </si>
  <si>
    <t xml:space="preserve">Week ending 12-Sep: Mon to Fri 8.00h on the India Kolkata worked line; weekly 40.00, Worked 40.00, Absence 0.00.</t>
  </si>
  <si>
    <t xml:space="preserve">Mapping rule: SN Project + SN Training reconcile to Deloitte Worked; SN Sick reconciles to Deloitte Absence; daily and weekly totals are identical.</t>
  </si>
  <si>
    <t xml:space="preserve">Activity notes are drawn from the engagement work on SNOWUSEMTP-895 (Qualys CI lookup rules), the Primary AIT resolution design and SNOWUSEMTP-1625 (CDP remediation task payload and Kafka producer).</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</si>
</sst>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000000"/>
      <name val="Arial"/>
      <family val="0"/>
      <charset val="1"/>
    </font>
    <font>
      <b val="true"/>
      <sz val="10"/>
      <color rgb="FFFFFFFF"/>
      <name val="Arial"/>
      <family val="0"/>
      <charset val="1"/>
    </font>
    <font>
      <sz val="10"/>
      <color rgb="FF000000"/>
      <name val="Arial"/>
      <family val="0"/>
      <charset val="1"/>
    </font>
    <font>
      <sz val="8.5"/>
      <color rgb="FF44546A"/>
      <name val="Arial"/>
      <family val="0"/>
      <charset val="1"/>
    </font>
    <font>
      <sz val="9.5"/>
      <color rgb="FF000000"/>
      <name val="Arial"/>
      <family val="0"/>
      <charset val="1"/>
    </font>
    <font>
      <b val="true"/>
      <sz val="10"/>
      <color rgb="FF152744"/>
      <name val="Arial"/>
      <family val="0"/>
      <charset val="1"/>
    </font>
    <font>
      <b val="true"/>
      <sz val="11"/>
      <color rgb="FFFFFFFF"/>
      <name val="Arial"/>
      <family val="0"/>
      <charset val="1"/>
    </font>
    <font>
      <b val="true"/>
      <sz val="9.5"/>
      <color rgb="FFFFFFFF"/>
      <name val="Arial"/>
      <family val="0"/>
      <charset val="1"/>
    </font>
  </fonts>
  <fills count="6">
    <fill>
      <patternFill patternType="none"/>
    </fill>
    <fill>
      <patternFill patternType="gray125"/>
    </fill>
    <fill>
      <patternFill patternType="solid">
        <fgColor rgb="FF1F3864"/>
        <bgColor rgb="FF152744"/>
      </patternFill>
    </fill>
    <fill>
      <patternFill patternType="solid">
        <fgColor rgb="FFEAF0F8"/>
        <bgColor rgb="FFD6E1F0"/>
      </patternFill>
    </fill>
    <fill>
      <patternFill patternType="solid">
        <fgColor rgb="FFD6E1F0"/>
        <bgColor rgb="FFEAF0F8"/>
      </patternFill>
    </fill>
    <fill>
      <patternFill patternType="solid">
        <fgColor rgb="FF152744"/>
        <bgColor rgb="FF1F3864"/>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right" vertical="center" textRotation="0" wrapText="fals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left" vertical="center" textRotation="0" wrapText="false" indent="0" shrinkToFit="false"/>
      <protection locked="true" hidden="false"/>
    </xf>
    <xf numFmtId="164" fontId="11" fillId="2" borderId="1" xfId="0" applyFont="true" applyBorder="true" applyAlignment="true" applyProtection="false">
      <alignment horizontal="right" vertical="center" textRotation="0" wrapText="false" indent="0" shrinkToFit="false"/>
      <protection locked="true" hidden="false"/>
    </xf>
    <xf numFmtId="165" fontId="11" fillId="2" borderId="1"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AF0F8"/>
      <rgbColor rgb="FF660066"/>
      <rgbColor rgb="FFFF8080"/>
      <rgbColor rgb="FF0066CC"/>
      <rgbColor rgb="FFD6E1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333399"/>
      <rgbColor rgb="FF1527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9"/>
    <col collapsed="false" customWidth="true" hidden="false" outlineLevel="0" max="4" min="4" style="0" width="22"/>
    <col collapsed="false" customWidth="true" hidden="false" outlineLevel="0" max="5" min="5" style="0" width="104"/>
  </cols>
  <sheetData>
    <row r="1" customFormat="false" ht="25.5" hidden="false" customHeight="true" outlineLevel="0" collapsed="false">
      <c r="A1" s="1" t="s">
        <v>0</v>
      </c>
      <c r="B1" s="1"/>
      <c r="C1" s="1"/>
      <c r="D1" s="1"/>
      <c r="E1" s="1"/>
    </row>
    <row r="2" customFormat="false" ht="31.5" hidden="false" customHeight="true" outlineLevel="0" collapsed="false">
      <c r="A2" s="2" t="s">
        <v>1</v>
      </c>
      <c r="B2" s="2"/>
      <c r="C2" s="2"/>
      <c r="D2" s="2"/>
      <c r="E2" s="2"/>
    </row>
    <row r="4" customFormat="false" ht="19.5" hidden="false" customHeight="true" outlineLevel="0" collapsed="false">
      <c r="A4" s="3" t="s">
        <v>2</v>
      </c>
      <c r="B4" s="3" t="s">
        <v>3</v>
      </c>
      <c r="C4" s="3" t="s">
        <v>4</v>
      </c>
      <c r="D4" s="3" t="s">
        <v>5</v>
      </c>
      <c r="E4" s="4" t="s">
        <v>6</v>
      </c>
    </row>
    <row r="5" customFormat="false" ht="57.75" hidden="false" customHeight="true" outlineLevel="0" collapsed="false">
      <c r="A5" s="5" t="s">
        <v>7</v>
      </c>
      <c r="B5" s="5" t="s">
        <v>8</v>
      </c>
      <c r="C5" s="6" t="n">
        <v>8</v>
      </c>
      <c r="D5" s="7" t="s">
        <v>9</v>
      </c>
      <c r="E5" s="7" t="s">
        <v>10</v>
      </c>
    </row>
    <row r="6" customFormat="false" ht="57.75" hidden="false" customHeight="true" outlineLevel="0" collapsed="false">
      <c r="A6" s="8" t="s">
        <v>11</v>
      </c>
      <c r="B6" s="8" t="s">
        <v>12</v>
      </c>
      <c r="C6" s="9" t="n">
        <v>8</v>
      </c>
      <c r="D6" s="10" t="s">
        <v>9</v>
      </c>
      <c r="E6" s="10" t="s">
        <v>13</v>
      </c>
    </row>
    <row r="7" customFormat="false" ht="57.75" hidden="false" customHeight="true" outlineLevel="0" collapsed="false">
      <c r="A7" s="5" t="s">
        <v>14</v>
      </c>
      <c r="B7" s="5" t="s">
        <v>15</v>
      </c>
      <c r="C7" s="6" t="n">
        <v>8</v>
      </c>
      <c r="D7" s="7" t="s">
        <v>9</v>
      </c>
      <c r="E7" s="7" t="s">
        <v>16</v>
      </c>
    </row>
    <row r="8" customFormat="false" ht="57.75" hidden="false" customHeight="true" outlineLevel="0" collapsed="false">
      <c r="A8" s="8" t="s">
        <v>17</v>
      </c>
      <c r="B8" s="8" t="s">
        <v>18</v>
      </c>
      <c r="C8" s="9" t="n">
        <v>8</v>
      </c>
      <c r="D8" s="10" t="s">
        <v>9</v>
      </c>
      <c r="E8" s="10" t="s">
        <v>19</v>
      </c>
    </row>
    <row r="9" customFormat="false" ht="57.75" hidden="false" customHeight="true" outlineLevel="0" collapsed="false">
      <c r="A9" s="5" t="s">
        <v>20</v>
      </c>
      <c r="B9" s="5" t="s">
        <v>21</v>
      </c>
      <c r="C9" s="6" t="n">
        <v>8</v>
      </c>
      <c r="D9" s="7" t="s">
        <v>9</v>
      </c>
      <c r="E9" s="7" t="s">
        <v>22</v>
      </c>
    </row>
    <row r="11" customFormat="false" ht="25.5" hidden="false" customHeight="true" outlineLevel="0" collapsed="false">
      <c r="A11" s="11" t="s">
        <v>23</v>
      </c>
      <c r="B11" s="11"/>
      <c r="C11" s="11"/>
      <c r="D11" s="11"/>
      <c r="E11" s="11"/>
    </row>
  </sheetData>
  <mergeCells count="3">
    <mergeCell ref="A1:E1"/>
    <mergeCell ref="A2:E2"/>
    <mergeCell ref="A11:E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7"/>
    <col collapsed="false" customWidth="true" hidden="false" outlineLevel="0" max="4" min="4" style="0" width="17"/>
    <col collapsed="false" customWidth="true" hidden="false" outlineLevel="0" max="5" min="5" style="0" width="26"/>
    <col collapsed="false" customWidth="true" hidden="false" outlineLevel="0" max="6" min="6" style="0" width="9"/>
    <col collapsed="false" customWidth="true" hidden="false" outlineLevel="0" max="7" min="7" style="0" width="92"/>
  </cols>
  <sheetData>
    <row r="1" customFormat="false" ht="25.5" hidden="false" customHeight="true" outlineLevel="0" collapsed="false">
      <c r="A1" s="1" t="s">
        <v>24</v>
      </c>
      <c r="B1" s="1"/>
      <c r="C1" s="1"/>
      <c r="D1" s="1"/>
      <c r="E1" s="1"/>
      <c r="F1" s="1"/>
      <c r="G1" s="1"/>
    </row>
    <row r="2" customFormat="false" ht="15" hidden="false" customHeight="true" outlineLevel="0" collapsed="false">
      <c r="A2" s="12" t="s">
        <v>25</v>
      </c>
      <c r="B2" s="12"/>
      <c r="C2" s="12"/>
      <c r="D2" s="12"/>
      <c r="E2" s="12"/>
      <c r="F2" s="12"/>
      <c r="G2" s="12"/>
    </row>
    <row r="3" customFormat="false" ht="15" hidden="false" customHeight="true" outlineLevel="0" collapsed="false">
      <c r="A3" s="12" t="s">
        <v>26</v>
      </c>
      <c r="B3" s="12"/>
      <c r="C3" s="12"/>
      <c r="D3" s="12"/>
      <c r="E3" s="12"/>
      <c r="F3" s="12"/>
      <c r="G3" s="12"/>
    </row>
    <row r="5" customFormat="false" ht="19.5" hidden="false" customHeight="true" outlineLevel="0" collapsed="false">
      <c r="A5" s="3" t="s">
        <v>27</v>
      </c>
      <c r="B5" s="3" t="s">
        <v>2</v>
      </c>
      <c r="C5" s="3" t="s">
        <v>3</v>
      </c>
      <c r="D5" s="3" t="s">
        <v>28</v>
      </c>
      <c r="E5" s="3" t="s">
        <v>29</v>
      </c>
      <c r="F5" s="3" t="s">
        <v>4</v>
      </c>
      <c r="G5" s="3" t="s">
        <v>30</v>
      </c>
    </row>
    <row r="6" customFormat="false" ht="54" hidden="false" customHeight="true" outlineLevel="0" collapsed="false">
      <c r="A6" s="13" t="s">
        <v>31</v>
      </c>
      <c r="B6" s="14" t="s">
        <v>7</v>
      </c>
      <c r="C6" s="14" t="s">
        <v>8</v>
      </c>
      <c r="D6" s="13" t="s">
        <v>32</v>
      </c>
      <c r="E6" s="13" t="s">
        <v>33</v>
      </c>
      <c r="F6" s="15" t="n">
        <v>8</v>
      </c>
      <c r="G6" s="13" t="s">
        <v>10</v>
      </c>
    </row>
    <row r="7" customFormat="false" ht="54" hidden="false" customHeight="true" outlineLevel="0" collapsed="false">
      <c r="A7" s="16" t="s">
        <v>31</v>
      </c>
      <c r="B7" s="17" t="s">
        <v>11</v>
      </c>
      <c r="C7" s="17" t="s">
        <v>12</v>
      </c>
      <c r="D7" s="16" t="s">
        <v>34</v>
      </c>
      <c r="E7" s="16" t="s">
        <v>35</v>
      </c>
      <c r="F7" s="18" t="n">
        <v>8</v>
      </c>
      <c r="G7" s="16" t="s">
        <v>13</v>
      </c>
    </row>
    <row r="8" customFormat="false" ht="54" hidden="false" customHeight="true" outlineLevel="0" collapsed="false">
      <c r="A8" s="13" t="s">
        <v>31</v>
      </c>
      <c r="B8" s="14" t="s">
        <v>14</v>
      </c>
      <c r="C8" s="14" t="s">
        <v>15</v>
      </c>
      <c r="D8" s="13" t="s">
        <v>36</v>
      </c>
      <c r="E8" s="13" t="s">
        <v>33</v>
      </c>
      <c r="F8" s="15" t="n">
        <v>8</v>
      </c>
      <c r="G8" s="13" t="s">
        <v>16</v>
      </c>
    </row>
    <row r="9" customFormat="false" ht="54" hidden="false" customHeight="true" outlineLevel="0" collapsed="false">
      <c r="A9" s="16" t="s">
        <v>31</v>
      </c>
      <c r="B9" s="17" t="s">
        <v>17</v>
      </c>
      <c r="C9" s="17" t="s">
        <v>18</v>
      </c>
      <c r="D9" s="16" t="s">
        <v>32</v>
      </c>
      <c r="E9" s="16" t="s">
        <v>37</v>
      </c>
      <c r="F9" s="18" t="n">
        <v>8</v>
      </c>
      <c r="G9" s="16" t="s">
        <v>19</v>
      </c>
    </row>
    <row r="10" customFormat="false" ht="54" hidden="false" customHeight="true" outlineLevel="0" collapsed="false">
      <c r="A10" s="13" t="s">
        <v>31</v>
      </c>
      <c r="B10" s="14" t="s">
        <v>20</v>
      </c>
      <c r="C10" s="14" t="s">
        <v>21</v>
      </c>
      <c r="D10" s="13" t="s">
        <v>32</v>
      </c>
      <c r="E10" s="13" t="s">
        <v>33</v>
      </c>
      <c r="F10" s="15" t="n">
        <v>8</v>
      </c>
      <c r="G10" s="13" t="s">
        <v>22</v>
      </c>
    </row>
    <row r="11" customFormat="false" ht="18" hidden="false" customHeight="true" outlineLevel="0" collapsed="false">
      <c r="A11" s="19"/>
      <c r="B11" s="19"/>
      <c r="C11" s="19"/>
      <c r="D11" s="19"/>
      <c r="E11" s="20" t="s">
        <v>38</v>
      </c>
      <c r="F11" s="21" t="n">
        <f aca="false">SUM(F6:F10)</f>
        <v>40</v>
      </c>
      <c r="G11" s="19"/>
    </row>
    <row r="13" customFormat="false" ht="21.75" hidden="false" customHeight="true" outlineLevel="0" collapsed="false">
      <c r="A13" s="22"/>
      <c r="B13" s="22"/>
      <c r="C13" s="22"/>
      <c r="D13" s="22"/>
      <c r="E13" s="23" t="s">
        <v>39</v>
      </c>
      <c r="F13" s="24" t="n">
        <f aca="false">F11</f>
        <v>40</v>
      </c>
      <c r="G13" s="22"/>
    </row>
  </sheetData>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15"/>
    <col collapsed="false" customWidth="true" hidden="false" outlineLevel="0" max="4" min="4" style="0" width="11"/>
    <col collapsed="false" customWidth="true" hidden="false" outlineLevel="0" max="9" min="9" style="0" width="9"/>
    <col collapsed="false" customWidth="true" hidden="false" outlineLevel="0" max="10" min="10" style="0" width="11"/>
  </cols>
  <sheetData>
    <row r="1" customFormat="false" ht="25.5" hidden="false" customHeight="true" outlineLevel="0" collapsed="false">
      <c r="A1" s="1" t="s">
        <v>40</v>
      </c>
      <c r="B1" s="1"/>
      <c r="C1" s="1"/>
      <c r="D1" s="1"/>
      <c r="E1" s="1"/>
      <c r="F1" s="1"/>
      <c r="G1" s="1"/>
      <c r="H1" s="1"/>
      <c r="I1" s="1"/>
      <c r="J1" s="1"/>
    </row>
    <row r="2" customFormat="false" ht="27.75" hidden="false" customHeight="true" outlineLevel="0" collapsed="false">
      <c r="A2" s="2" t="s">
        <v>41</v>
      </c>
      <c r="B2" s="2"/>
      <c r="C2" s="2"/>
      <c r="D2" s="2"/>
      <c r="E2" s="2"/>
      <c r="F2" s="2"/>
      <c r="G2" s="2"/>
      <c r="H2" s="2"/>
      <c r="I2" s="2"/>
      <c r="J2" s="2"/>
    </row>
    <row r="4" customFormat="false" ht="30" hidden="false" customHeight="true" outlineLevel="0" collapsed="false">
      <c r="A4" s="25" t="s">
        <v>2</v>
      </c>
      <c r="B4" s="25" t="s">
        <v>3</v>
      </c>
      <c r="C4" s="25" t="s">
        <v>42</v>
      </c>
      <c r="D4" s="25" t="s">
        <v>43</v>
      </c>
      <c r="E4" s="25" t="s">
        <v>44</v>
      </c>
      <c r="F4" s="25" t="s">
        <v>45</v>
      </c>
      <c r="G4" s="25" t="s">
        <v>46</v>
      </c>
      <c r="H4" s="25" t="s">
        <v>47</v>
      </c>
      <c r="I4" s="25" t="s">
        <v>48</v>
      </c>
      <c r="J4" s="25" t="s">
        <v>49</v>
      </c>
    </row>
    <row r="5" customFormat="false" ht="18" hidden="false" customHeight="true" outlineLevel="0" collapsed="false">
      <c r="A5" s="26" t="s">
        <v>50</v>
      </c>
      <c r="B5" s="26"/>
      <c r="C5" s="26"/>
      <c r="D5" s="26"/>
      <c r="E5" s="26"/>
      <c r="F5" s="26"/>
      <c r="G5" s="26"/>
      <c r="H5" s="26"/>
      <c r="I5" s="26"/>
      <c r="J5" s="26"/>
    </row>
    <row r="6" customFormat="false" ht="15" hidden="false" customHeight="true" outlineLevel="0" collapsed="false">
      <c r="A6" s="14" t="s">
        <v>7</v>
      </c>
      <c r="B6" s="14" t="s">
        <v>8</v>
      </c>
      <c r="C6" s="15" t="n">
        <v>8</v>
      </c>
      <c r="D6" s="15" t="n">
        <v>0</v>
      </c>
      <c r="E6" s="15" t="n">
        <f aca="false">C6+D6</f>
        <v>8</v>
      </c>
      <c r="F6" s="15" t="n">
        <v>8</v>
      </c>
      <c r="G6" s="15" t="n">
        <v>0</v>
      </c>
      <c r="H6" s="15" t="n">
        <v>0</v>
      </c>
      <c r="I6" s="15" t="n">
        <f aca="false">F6+G6+H6</f>
        <v>8</v>
      </c>
      <c r="J6" s="14" t="str">
        <f aca="false">IF(AND(E6=I6,C6=F6+G6,D6=H6),"MATCH","CHECK")</f>
        <v>MATCH</v>
      </c>
    </row>
    <row r="7" customFormat="false" ht="15" hidden="false" customHeight="true" outlineLevel="0" collapsed="false">
      <c r="A7" s="17" t="s">
        <v>11</v>
      </c>
      <c r="B7" s="17" t="s">
        <v>12</v>
      </c>
      <c r="C7" s="18" t="n">
        <v>8</v>
      </c>
      <c r="D7" s="18" t="n">
        <v>0</v>
      </c>
      <c r="E7" s="18" t="n">
        <f aca="false">C7+D7</f>
        <v>8</v>
      </c>
      <c r="F7" s="18" t="n">
        <v>8</v>
      </c>
      <c r="G7" s="18" t="n">
        <v>0</v>
      </c>
      <c r="H7" s="18" t="n">
        <v>0</v>
      </c>
      <c r="I7" s="18" t="n">
        <f aca="false">F7+G7+H7</f>
        <v>8</v>
      </c>
      <c r="J7" s="17" t="str">
        <f aca="false">IF(AND(E7=I7,C7=F7+G7,D7=H7),"MATCH","CHECK")</f>
        <v>MATCH</v>
      </c>
    </row>
    <row r="8" customFormat="false" ht="15" hidden="false" customHeight="true" outlineLevel="0" collapsed="false">
      <c r="A8" s="14" t="s">
        <v>14</v>
      </c>
      <c r="B8" s="14" t="s">
        <v>15</v>
      </c>
      <c r="C8" s="15" t="n">
        <v>8</v>
      </c>
      <c r="D8" s="15" t="n">
        <v>0</v>
      </c>
      <c r="E8" s="15" t="n">
        <f aca="false">C8+D8</f>
        <v>8</v>
      </c>
      <c r="F8" s="15" t="n">
        <v>8</v>
      </c>
      <c r="G8" s="15" t="n">
        <v>0</v>
      </c>
      <c r="H8" s="15" t="n">
        <v>0</v>
      </c>
      <c r="I8" s="15" t="n">
        <f aca="false">F8+G8+H8</f>
        <v>8</v>
      </c>
      <c r="J8" s="14" t="str">
        <f aca="false">IF(AND(E8=I8,C8=F8+G8,D8=H8),"MATCH","CHECK")</f>
        <v>MATCH</v>
      </c>
    </row>
    <row r="9" customFormat="false" ht="15" hidden="false" customHeight="true" outlineLevel="0" collapsed="false">
      <c r="A9" s="17" t="s">
        <v>17</v>
      </c>
      <c r="B9" s="17" t="s">
        <v>18</v>
      </c>
      <c r="C9" s="18" t="n">
        <v>8</v>
      </c>
      <c r="D9" s="18" t="n">
        <v>0</v>
      </c>
      <c r="E9" s="18" t="n">
        <f aca="false">C9+D9</f>
        <v>8</v>
      </c>
      <c r="F9" s="18" t="n">
        <v>8</v>
      </c>
      <c r="G9" s="18" t="n">
        <v>0</v>
      </c>
      <c r="H9" s="18" t="n">
        <v>0</v>
      </c>
      <c r="I9" s="18" t="n">
        <f aca="false">F9+G9+H9</f>
        <v>8</v>
      </c>
      <c r="J9" s="17" t="str">
        <f aca="false">IF(AND(E9=I9,C9=F9+G9,D9=H9),"MATCH","CHECK")</f>
        <v>MATCH</v>
      </c>
    </row>
    <row r="10" customFormat="false" ht="15" hidden="false" customHeight="true" outlineLevel="0" collapsed="false">
      <c r="A10" s="14" t="s">
        <v>20</v>
      </c>
      <c r="B10" s="14" t="s">
        <v>21</v>
      </c>
      <c r="C10" s="15" t="n">
        <v>8</v>
      </c>
      <c r="D10" s="15" t="n">
        <v>0</v>
      </c>
      <c r="E10" s="15" t="n">
        <f aca="false">C10+D10</f>
        <v>8</v>
      </c>
      <c r="F10" s="15" t="n">
        <v>8</v>
      </c>
      <c r="G10" s="15" t="n">
        <v>0</v>
      </c>
      <c r="H10" s="15" t="n">
        <v>0</v>
      </c>
      <c r="I10" s="15" t="n">
        <f aca="false">F10+G10+H10</f>
        <v>8</v>
      </c>
      <c r="J10" s="14" t="str">
        <f aca="false">IF(AND(E10=I10,C10=F10+G10,D10=H10),"MATCH","CHECK")</f>
        <v>MATCH</v>
      </c>
    </row>
    <row r="11" customFormat="false" ht="18" hidden="false" customHeight="true" outlineLevel="0" collapsed="false">
      <c r="A11" s="20" t="s">
        <v>51</v>
      </c>
      <c r="B11" s="19"/>
      <c r="C11" s="21" t="n">
        <f aca="false">SUM(C6:C10)</f>
        <v>40</v>
      </c>
      <c r="D11" s="21" t="n">
        <f aca="false">SUM(D6:D10)</f>
        <v>0</v>
      </c>
      <c r="E11" s="21" t="n">
        <f aca="false">SUM(E6:E10)</f>
        <v>40</v>
      </c>
      <c r="F11" s="21" t="n">
        <f aca="false">SUM(F6:F10)</f>
        <v>40</v>
      </c>
      <c r="G11" s="21" t="n">
        <f aca="false">SUM(G6:G10)</f>
        <v>0</v>
      </c>
      <c r="H11" s="21" t="n">
        <f aca="false">SUM(H6:H10)</f>
        <v>0</v>
      </c>
      <c r="I11" s="21" t="n">
        <f aca="false">SUM(I6:I10)</f>
        <v>40</v>
      </c>
      <c r="J11" s="27" t="str">
        <f aca="false">IF(AND(E11=I11,C11=F11+G11,D11=H11),"MATCH","CHECK")</f>
        <v>MATCH</v>
      </c>
    </row>
    <row r="13" customFormat="false" ht="21.75" hidden="false" customHeight="true" outlineLevel="0" collapsed="false">
      <c r="A13" s="23" t="s">
        <v>52</v>
      </c>
      <c r="B13" s="22"/>
      <c r="C13" s="24" t="n">
        <f aca="false">C11</f>
        <v>40</v>
      </c>
      <c r="D13" s="24" t="n">
        <f aca="false">D11</f>
        <v>0</v>
      </c>
      <c r="E13" s="24" t="n">
        <f aca="false">E11</f>
        <v>40</v>
      </c>
      <c r="F13" s="24" t="n">
        <f aca="false">F11</f>
        <v>40</v>
      </c>
      <c r="G13" s="24" t="n">
        <f aca="false">G11</f>
        <v>0</v>
      </c>
      <c r="H13" s="24" t="n">
        <f aca="false">H11</f>
        <v>0</v>
      </c>
      <c r="I13" s="24" t="n">
        <f aca="false">I11</f>
        <v>40</v>
      </c>
      <c r="J13" s="28" t="str">
        <f aca="false">IF(AND(E13=I13,C13=F13+G13,D13=H13),"MATCH","CHECK")</f>
        <v>MATCH</v>
      </c>
    </row>
    <row r="15" customFormat="false" ht="27" hidden="false" customHeight="true" outlineLevel="0" collapsed="false">
      <c r="A15" s="11" t="s">
        <v>53</v>
      </c>
      <c r="B15" s="11"/>
      <c r="C15" s="11"/>
      <c r="D15" s="11"/>
      <c r="E15" s="11"/>
      <c r="F15" s="11"/>
      <c r="G15" s="11"/>
      <c r="H15" s="11"/>
      <c r="I15" s="11"/>
      <c r="J15" s="11"/>
    </row>
    <row r="16" customFormat="false" ht="13.5" hidden="false" customHeight="true" outlineLevel="0" collapsed="false">
      <c r="A16" s="11" t="s">
        <v>54</v>
      </c>
      <c r="B16" s="11"/>
      <c r="C16" s="11"/>
      <c r="D16" s="11"/>
      <c r="E16" s="11"/>
      <c r="F16" s="11"/>
      <c r="G16" s="11"/>
      <c r="H16" s="11"/>
      <c r="I16" s="11"/>
      <c r="J16" s="11"/>
    </row>
    <row r="17" customFormat="false" ht="27" hidden="false" customHeight="true" outlineLevel="0" collapsed="false">
      <c r="A17" s="11" t="s">
        <v>55</v>
      </c>
      <c r="B17" s="11"/>
      <c r="C17" s="11"/>
      <c r="D17" s="11"/>
      <c r="E17" s="11"/>
      <c r="F17" s="11"/>
      <c r="G17" s="11"/>
      <c r="H17" s="11"/>
      <c r="I17" s="11"/>
      <c r="J17" s="11"/>
    </row>
    <row r="18" customFormat="false" ht="27" hidden="false" customHeight="true" outlineLevel="0" collapsed="false">
      <c r="A18" s="11" t="s">
        <v>56</v>
      </c>
      <c r="B18" s="11"/>
      <c r="C18" s="11"/>
      <c r="D18" s="11"/>
      <c r="E18" s="11"/>
      <c r="F18" s="11"/>
      <c r="G18" s="11"/>
      <c r="H18" s="11"/>
      <c r="I18" s="11"/>
      <c r="J18" s="11"/>
    </row>
  </sheetData>
  <mergeCells count="7">
    <mergeCell ref="A1:J1"/>
    <mergeCell ref="A2:J2"/>
    <mergeCell ref="A5:J5"/>
    <mergeCell ref="A15:J15"/>
    <mergeCell ref="A16:J16"/>
    <mergeCell ref="A17:J17"/>
    <mergeCell ref="A18:J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2026-09-12T06:05:42Z</dcterms:created>
  <dc:creator>Mihir Kumar Singh</dc:creator>
  <dc:description/>
  <dc:language>en-US</dc:language>
  <cp:lastModifiedBy>Mihir Kumar Singh</cp:lastModifiedBy>
  <dcterms:modified xsi:type="dcterms:W3CDTF">2026-09-12T06:05:42Z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