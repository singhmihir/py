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Notes (Copy-Paste)" sheetId="1" state="visible" r:id="rId3"/>
    <sheet name="ServiceNow Daily Timecard" sheetId="2" state="visible" r:id="rId4"/>
    <sheet name="Deloitte Reconcili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<sst xmlns="http://schemas.openxmlformats.org/spreadsheetml/2006/main" count="163" uniqueCount="77">
  <si>
    <t xml:space="preserve">ServiceNow Time Card  |  Daily Notes, one day per cell</t>
  </si>
  <si>
    <t xml:space="preserve">Period: 24-Aug-2026 to 04-Sep-2026   |   Mihir Kumar Singh, L45 Security Engineer III, Kolkata   |   Bank of America USEM / VMT, AIT 75624   |   JIRA: SNOWUSEMTP.  Format per ServiceNow time-card guidance: [Line] - [Outcome]. Copy a single cell into that day's time-card comment. Daily hours tie to the Deloitte system of record.</t>
  </si>
  <si>
    <t xml:space="preserve">Date</t>
  </si>
  <si>
    <t xml:space="preserve">Day</t>
  </si>
  <si>
    <t xml:space="preserve">Hours</t>
  </si>
  <si>
    <t xml:space="preserve">Time Card Line</t>
  </si>
  <si>
    <t xml:space="preserve">Time Card Note  (copy one cell per day into ServiceNow)</t>
  </si>
  <si>
    <t xml:space="preserve">24-Aug-2026</t>
  </si>
  <si>
    <t xml:space="preserve">Mon</t>
  </si>
  <si>
    <t xml:space="preserve">Project (8h)</t>
  </si>
  <si>
    <t xml:space="preserve">Analysis - Remediation Task CC: requirement review for the Trident resolve gate that requires a closure attachment, walking the workspace Resolve modal, the Request Closure UI action and the result group close path to place the check without touching baseline records.</t>
  </si>
  <si>
    <t xml:space="preserve">25-Aug-2026</t>
  </si>
  <si>
    <t xml:space="preserve">Tue</t>
  </si>
  <si>
    <t xml:space="preserve">Configurations - Remediation Task CC: built the resolve gate on Trident result groups (workspace Resolve modal guard and Request Closure UI action require a resolution attachment), tested with and without the attachment; update set completed in the Configuration Compliance scope.</t>
  </si>
  <si>
    <t xml:space="preserve">26-Aug-2026</t>
  </si>
  <si>
    <t xml:space="preserve">Wed</t>
  </si>
  <si>
    <t xml:space="preserve">Configurations - SNOWUSEMTP-1420: consolidated the Trident closure business rules (closure approval gate, reopen window, approval cancel on reopen) onto the TridentClosureUtil script include, added the governance group property and aligned the Trident Closure Approval flow; full approval cycle regression. V2.0 delivered.</t>
  </si>
  <si>
    <t xml:space="preserve">27-Aug-2026</t>
  </si>
  <si>
    <t xml:space="preserve">Thu</t>
  </si>
  <si>
    <t xml:space="preserve">Configurations - SNOWUSEMTP-1420: fixed the re-request path so a second closure request after a rejection raises a fresh approval cycle, retested approve, reject and re-request sequences with the governance approvers. V2.1 delivered.</t>
  </si>
  <si>
    <t xml:space="preserve">28-Aug-2026</t>
  </si>
  <si>
    <t xml:space="preserve">Fri</t>
  </si>
  <si>
    <t xml:space="preserve">Holiday (8h)</t>
  </si>
  <si>
    <t xml:space="preserve">Holiday - no project activity (Deloitte T&amp;E: HOL Holiday 8.00h).</t>
  </si>
  <si>
    <t xml:space="preserve">31-Aug-2026</t>
  </si>
  <si>
    <t xml:space="preserve">Sick (8h)</t>
  </si>
  <si>
    <t xml:space="preserve">Sick leave - no project activity (Deloitte T&amp;E: SLV Sick Leave 8.00h).</t>
  </si>
  <si>
    <t xml:space="preserve">01-Sep-2026</t>
  </si>
  <si>
    <t xml:space="preserve">Analysis - SNOWUSEMTP-1420: root-caused the approval retrigger defect on Resolved with Pending Approval (the flow trigger fires once per unique change, so a repeat resolve left the task without an approval) and designed the single lifecycle rule covering every State and Reason transition.</t>
  </si>
  <si>
    <t xml:space="preserve">02-Sep-2026</t>
  </si>
  <si>
    <t xml:space="preserve">Configurations - SNOWUSEMTP-1420: replaced the Trident closure rules with the single BOFA Trident closure lifecycle rule, retested every ordered state pair and Reason transition with approval rows and the normalisation fix script. V2.3 delivered. Started the P3.17 weekly Vulnerabilities Summary notification.</t>
  </si>
  <si>
    <t xml:space="preserve">03-Sep-2026</t>
  </si>
  <si>
    <t xml:space="preserve">Configurations - SNOWUSEMTP.26.P3.17: built the VulnSummaryDigestUtil script include, event, mail script and weekly scheduled job that send each application manager a summary of open findings across vulnerable items, application vulnerable items and container images, tested with active and inactive owners. V1.1 delivered. Began the SNOWUSEMTP-1625 CDP payload builder.</t>
  </si>
  <si>
    <t xml:space="preserve">04-Sep-2026</t>
  </si>
  <si>
    <t xml:space="preserve">Configurations - SNOWUSEMTP-1625: completed the RemediationTaskPayloadBuilder script include and the four per-table field mapping properties for the Kafka outbound remediation task payload, tested across the four remediation task tables. V2.2 delivered. Re-captured the sixteen Qualys CI lookup rules (SNOWUSEMTP-895) with the stage comments into V2.2.</t>
  </si>
  <si>
    <t xml:space="preserve">Week ending 29-Aug carries a single Project line Mon to Thu and a Holiday line on Fri 28-Aug (8.00h). Week ending 05-Sep carries a Sick line on Mon 31-Aug (8.00h) and a single Project line Tue to Fri. See the Reconciliation sheet for the line-by-line tie-out.</t>
  </si>
  <si>
    <t xml:space="preserve">ServiceNow Time Card  |  Daily Activity Log</t>
  </si>
  <si>
    <t xml:space="preserve">Resource: Mihir Kumar Singh   |   Role: Security Engineer III (L45), Kolkata   |   Engagement: Bank of America USEM / VMT   |   AIT: 75624   |   Team: SNow Boarders (34830)</t>
  </si>
  <si>
    <t xml:space="preserve">Period: 24-Aug-2026 to 04-Sep-2026   |   JIRA Project: SNOWUSEMTP   |   Notes format per ServiceNow time-card guidance: [Line] - [Outcome]</t>
  </si>
  <si>
    <t xml:space="preserve">Week Ending</t>
  </si>
  <si>
    <t xml:space="preserve">Activity Type</t>
  </si>
  <si>
    <t xml:space="preserve">Story / Reference</t>
  </si>
  <si>
    <t xml:space="preserve">Timecard Notes</t>
  </si>
  <si>
    <t xml:space="preserve">29-Aug-2026</t>
  </si>
  <si>
    <t xml:space="preserve">Analysis</t>
  </si>
  <si>
    <t xml:space="preserve">Remediation Task CC</t>
  </si>
  <si>
    <t xml:space="preserve">Configurations</t>
  </si>
  <si>
    <t xml:space="preserve">SNOWUSEMTP-1420</t>
  </si>
  <si>
    <t xml:space="preserve">Holiday</t>
  </si>
  <si>
    <t xml:space="preserve">Firm holiday</t>
  </si>
  <si>
    <t xml:space="preserve">Week ending 29-Aug-2026  Subtotal</t>
  </si>
  <si>
    <t xml:space="preserve">05-Sep-2026</t>
  </si>
  <si>
    <t xml:space="preserve">Sick Leave</t>
  </si>
  <si>
    <t xml:space="preserve">Absence</t>
  </si>
  <si>
    <t xml:space="preserve">SNOWUSEMTP.26.P3.17</t>
  </si>
  <si>
    <t xml:space="preserve">SNOWUSEMTP-1625</t>
  </si>
  <si>
    <t xml:space="preserve">Week ending 05-Sep-2026  Subtotal</t>
  </si>
  <si>
    <t xml:space="preserve">GRAND TOTAL (24-Aug to 04-Sep)</t>
  </si>
  <si>
    <t xml:space="preserve">Reconciliation:  Deloitte T&amp;E  vs  ServiceNow Time Card</t>
  </si>
  <si>
    <t xml:space="preserve">Deloitte is the system of record. Every daily and weekly total below is computed live and must read MATCH. SN Project + SN Training = Deloitte Worked. SN Sick / Holiday = Deloitte Absence. Each week carries one absence day.</t>
  </si>
  <si>
    <t xml:space="preserve">Deloitte Worked
(India Kolkata)</t>
  </si>
  <si>
    <t xml:space="preserve">Deloitte
Absence</t>
  </si>
  <si>
    <t xml:space="preserve">Deloitte
Total</t>
  </si>
  <si>
    <t xml:space="preserve">SN Project</t>
  </si>
  <si>
    <t xml:space="preserve">SN Training</t>
  </si>
  <si>
    <t xml:space="preserve">SN Sick /
Holiday</t>
  </si>
  <si>
    <t xml:space="preserve">SN
Total</t>
  </si>
  <si>
    <t xml:space="preserve">Match</t>
  </si>
  <si>
    <t xml:space="preserve">Week ending 29-Aug-2026</t>
  </si>
  <si>
    <t xml:space="preserve">Subtotal</t>
  </si>
  <si>
    <t xml:space="preserve">Week ending 05-Sep-2026</t>
  </si>
  <si>
    <t xml:space="preserve">GRAND TOTAL</t>
  </si>
  <si>
    <t xml:space="preserve">Source of record: Deloitte T&amp;E timesheets, weeks ending 29-Aug-2026 and 05-Sep-2026 (both showing Timesheet is approved).</t>
  </si>
  <si>
    <t xml:space="preserve">Week ending 29-Aug: Mon to Thu 8.00h on the India Kolkata worked line, Fri 28-Aug 8.00h HOL Holiday; weekly 40.00, Worked 32.00, Absence 8.00.</t>
  </si>
  <si>
    <t xml:space="preserve">Week ending 05-Sep: Mon 31-Aug 8.00h SLV Sick Leave, Tue to Fri 8.00h on the India Kolkata worked line; weekly 40.00, Worked 32.00, Absence 8.00.</t>
  </si>
  <si>
    <t xml:space="preserve">Mapping rule: SN Project + SN Training reconcile to Deloitte Worked; SN Sick / Holiday reconciles to Deloitte Absence; daily and weekly totals are identical.</t>
  </si>
  <si>
    <t xml:space="preserve">Activity notes are drawn from the engagement work on the Trident resolve gate, SNOWUSEMTP-1420 (Trident closure governance), SNOWUSEMTP.26.P3.17 (weekly Vulnerabilities Summary) and SNOWUSEMTP-1625 (CDP remediation task payload).</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</si>
</sst>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000000"/>
      <name val="Arial"/>
      <family val="0"/>
      <charset val="1"/>
    </font>
    <font>
      <b val="true"/>
      <sz val="10"/>
      <color rgb="FFFFFFFF"/>
      <name val="Arial"/>
      <family val="0"/>
      <charset val="1"/>
    </font>
    <font>
      <sz val="10"/>
      <color rgb="FF000000"/>
      <name val="Arial"/>
      <family val="0"/>
      <charset val="1"/>
    </font>
    <font>
      <sz val="8.5"/>
      <color rgb="FF44546A"/>
      <name val="Arial"/>
      <family val="0"/>
      <charset val="1"/>
    </font>
    <font>
      <sz val="9.5"/>
      <color rgb="FF000000"/>
      <name val="Arial"/>
      <family val="0"/>
      <charset val="1"/>
    </font>
    <font>
      <b val="true"/>
      <sz val="10"/>
      <color rgb="FF152744"/>
      <name val="Arial"/>
      <family val="0"/>
      <charset val="1"/>
    </font>
    <font>
      <b val="true"/>
      <sz val="11"/>
      <color rgb="FFFFFFFF"/>
      <name val="Arial"/>
      <family val="0"/>
      <charset val="1"/>
    </font>
    <font>
      <b val="true"/>
      <sz val="9.5"/>
      <color rgb="FFFFFFFF"/>
      <name val="Arial"/>
      <family val="0"/>
      <charset val="1"/>
    </font>
  </fonts>
  <fills count="6">
    <fill>
      <patternFill patternType="none"/>
    </fill>
    <fill>
      <patternFill patternType="gray125"/>
    </fill>
    <fill>
      <patternFill patternType="solid">
        <fgColor rgb="FF1F3864"/>
        <bgColor rgb="FF152744"/>
      </patternFill>
    </fill>
    <fill>
      <patternFill patternType="solid">
        <fgColor rgb="FFEAF0F8"/>
        <bgColor rgb="FFD6E1F0"/>
      </patternFill>
    </fill>
    <fill>
      <patternFill patternType="solid">
        <fgColor rgb="FFD6E1F0"/>
        <bgColor rgb="FFEAF0F8"/>
      </patternFill>
    </fill>
    <fill>
      <patternFill patternType="solid">
        <fgColor rgb="FF152744"/>
        <bgColor rgb="FF1F3864"/>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right"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left" vertical="center" textRotation="0" wrapText="false" indent="0" shrinkToFit="false"/>
      <protection locked="true" hidden="false"/>
    </xf>
    <xf numFmtId="164" fontId="11" fillId="2" borderId="1" xfId="0" applyFont="true" applyBorder="true" applyAlignment="true" applyProtection="false">
      <alignment horizontal="right" vertical="center"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0F8"/>
      <rgbColor rgb="FF660066"/>
      <rgbColor rgb="FFFF8080"/>
      <rgbColor rgb="FF0066CC"/>
      <rgbColor rgb="FFD6E1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15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3"/>
    <col collapsed="false" customWidth="true" hidden="false" outlineLevel="0" max="2" min="2" style="0" width="7"/>
    <col collapsed="false" customWidth="true" hidden="false" outlineLevel="0" max="3" min="3" style="0" width="9"/>
    <col collapsed="false" customWidth="true" hidden="false" outlineLevel="0" max="4" min="4" style="0" width="22"/>
    <col collapsed="false" customWidth="true" hidden="false" outlineLevel="0" max="5" min="5" style="0" width="104"/>
  </cols>
  <sheetData>
    <row r="1" customFormat="false" ht="25.5" hidden="false" customHeight="true" outlineLevel="0" collapsed="false">
      <c r="A1" s="1" t="s">
        <v>0</v>
      </c>
      <c r="B1" s="1"/>
      <c r="C1" s="1"/>
      <c r="D1" s="1"/>
      <c r="E1" s="1"/>
    </row>
    <row r="2" customFormat="false" ht="31.5" hidden="false" customHeight="true" outlineLevel="0" collapsed="false">
      <c r="A2" s="2" t="s">
        <v>1</v>
      </c>
      <c r="B2" s="2"/>
      <c r="C2" s="2"/>
      <c r="D2" s="2"/>
      <c r="E2" s="2"/>
    </row>
    <row r="4" customFormat="false" ht="19.5" hidden="false" customHeight="true" outlineLevel="0" collapsed="false">
      <c r="A4" s="3" t="s">
        <v>2</v>
      </c>
      <c r="B4" s="3" t="s">
        <v>3</v>
      </c>
      <c r="C4" s="3" t="s">
        <v>4</v>
      </c>
      <c r="D4" s="3" t="s">
        <v>5</v>
      </c>
      <c r="E4" s="4" t="s">
        <v>6</v>
      </c>
    </row>
    <row r="5" customFormat="false" ht="57.75" hidden="false" customHeight="true" outlineLevel="0" collapsed="false">
      <c r="A5" s="5" t="s">
        <v>7</v>
      </c>
      <c r="B5" s="5" t="s">
        <v>8</v>
      </c>
      <c r="C5" s="6" t="n">
        <v>8</v>
      </c>
      <c r="D5" s="7" t="s">
        <v>9</v>
      </c>
      <c r="E5" s="7" t="s">
        <v>10</v>
      </c>
    </row>
    <row r="6" customFormat="false" ht="57.75" hidden="false" customHeight="true" outlineLevel="0" collapsed="false">
      <c r="A6" s="8" t="s">
        <v>11</v>
      </c>
      <c r="B6" s="8" t="s">
        <v>12</v>
      </c>
      <c r="C6" s="9" t="n">
        <v>8</v>
      </c>
      <c r="D6" s="10" t="s">
        <v>9</v>
      </c>
      <c r="E6" s="10" t="s">
        <v>13</v>
      </c>
    </row>
    <row r="7" customFormat="false" ht="57.75" hidden="false" customHeight="true" outlineLevel="0" collapsed="false">
      <c r="A7" s="5" t="s">
        <v>14</v>
      </c>
      <c r="B7" s="5" t="s">
        <v>15</v>
      </c>
      <c r="C7" s="6" t="n">
        <v>8</v>
      </c>
      <c r="D7" s="7" t="s">
        <v>9</v>
      </c>
      <c r="E7" s="7" t="s">
        <v>16</v>
      </c>
    </row>
    <row r="8" customFormat="false" ht="57.75" hidden="false" customHeight="true" outlineLevel="0" collapsed="false">
      <c r="A8" s="8" t="s">
        <v>17</v>
      </c>
      <c r="B8" s="8" t="s">
        <v>18</v>
      </c>
      <c r="C8" s="9" t="n">
        <v>8</v>
      </c>
      <c r="D8" s="10" t="s">
        <v>9</v>
      </c>
      <c r="E8" s="10" t="s">
        <v>19</v>
      </c>
    </row>
    <row r="9" customFormat="false" ht="57.75" hidden="false" customHeight="true" outlineLevel="0" collapsed="false">
      <c r="A9" s="5" t="s">
        <v>20</v>
      </c>
      <c r="B9" s="5" t="s">
        <v>21</v>
      </c>
      <c r="C9" s="6" t="n">
        <v>8</v>
      </c>
      <c r="D9" s="7" t="s">
        <v>22</v>
      </c>
      <c r="E9" s="7" t="s">
        <v>23</v>
      </c>
    </row>
    <row r="10" customFormat="false" ht="57.75" hidden="false" customHeight="true" outlineLevel="0" collapsed="false">
      <c r="A10" s="5" t="s">
        <v>24</v>
      </c>
      <c r="B10" s="5" t="s">
        <v>8</v>
      </c>
      <c r="C10" s="6" t="n">
        <v>8</v>
      </c>
      <c r="D10" s="7" t="s">
        <v>25</v>
      </c>
      <c r="E10" s="7" t="s">
        <v>26</v>
      </c>
    </row>
    <row r="11" customFormat="false" ht="57.75" hidden="false" customHeight="true" outlineLevel="0" collapsed="false">
      <c r="A11" s="8" t="s">
        <v>27</v>
      </c>
      <c r="B11" s="8" t="s">
        <v>12</v>
      </c>
      <c r="C11" s="9" t="n">
        <v>8</v>
      </c>
      <c r="D11" s="10" t="s">
        <v>9</v>
      </c>
      <c r="E11" s="10" t="s">
        <v>28</v>
      </c>
    </row>
    <row r="12" customFormat="false" ht="57.75" hidden="false" customHeight="true" outlineLevel="0" collapsed="false">
      <c r="A12" s="5" t="s">
        <v>29</v>
      </c>
      <c r="B12" s="5" t="s">
        <v>15</v>
      </c>
      <c r="C12" s="6" t="n">
        <v>8</v>
      </c>
      <c r="D12" s="7" t="s">
        <v>9</v>
      </c>
      <c r="E12" s="7" t="s">
        <v>30</v>
      </c>
    </row>
    <row r="13" customFormat="false" ht="57.75" hidden="false" customHeight="true" outlineLevel="0" collapsed="false">
      <c r="A13" s="8" t="s">
        <v>31</v>
      </c>
      <c r="B13" s="8" t="s">
        <v>18</v>
      </c>
      <c r="C13" s="9" t="n">
        <v>8</v>
      </c>
      <c r="D13" s="10" t="s">
        <v>9</v>
      </c>
      <c r="E13" s="10" t="s">
        <v>32</v>
      </c>
    </row>
    <row r="14" customFormat="false" ht="57.75" hidden="false" customHeight="true" outlineLevel="0" collapsed="false">
      <c r="A14" s="5" t="s">
        <v>33</v>
      </c>
      <c r="B14" s="5" t="s">
        <v>21</v>
      </c>
      <c r="C14" s="6" t="n">
        <v>8</v>
      </c>
      <c r="D14" s="7" t="s">
        <v>9</v>
      </c>
      <c r="E14" s="7" t="s">
        <v>34</v>
      </c>
    </row>
    <row r="16" customFormat="false" ht="25.5" hidden="false" customHeight="true" outlineLevel="0" collapsed="false">
      <c r="A16" s="11" t="s">
        <v>35</v>
      </c>
      <c r="B16" s="11"/>
      <c r="C16" s="11"/>
      <c r="D16" s="11"/>
      <c r="E16" s="11"/>
    </row>
  </sheetData>
  <mergeCells count="3">
    <mergeCell ref="A1:E1"/>
    <mergeCell ref="A2:E2"/>
    <mergeCell ref="A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7"/>
    <col collapsed="false" customWidth="true" hidden="false" outlineLevel="0" max="4" min="4" style="0" width="17"/>
    <col collapsed="false" customWidth="true" hidden="false" outlineLevel="0" max="5" min="5" style="0" width="26"/>
    <col collapsed="false" customWidth="true" hidden="false" outlineLevel="0" max="6" min="6" style="0" width="9"/>
    <col collapsed="false" customWidth="true" hidden="false" outlineLevel="0" max="7" min="7" style="0" width="92"/>
  </cols>
  <sheetData>
    <row r="1" customFormat="false" ht="25.5" hidden="false" customHeight="true" outlineLevel="0" collapsed="false">
      <c r="A1" s="1" t="s">
        <v>36</v>
      </c>
      <c r="B1" s="1"/>
      <c r="C1" s="1"/>
      <c r="D1" s="1"/>
      <c r="E1" s="1"/>
      <c r="F1" s="1"/>
      <c r="G1" s="1"/>
    </row>
    <row r="2" customFormat="false" ht="15" hidden="false" customHeight="true" outlineLevel="0" collapsed="false">
      <c r="A2" s="12" t="s">
        <v>37</v>
      </c>
      <c r="B2" s="12"/>
      <c r="C2" s="12"/>
      <c r="D2" s="12"/>
      <c r="E2" s="12"/>
      <c r="F2" s="12"/>
      <c r="G2" s="12"/>
    </row>
    <row r="3" customFormat="false" ht="15" hidden="false" customHeight="true" outlineLevel="0" collapsed="false">
      <c r="A3" s="12" t="s">
        <v>38</v>
      </c>
      <c r="B3" s="12"/>
      <c r="C3" s="12"/>
      <c r="D3" s="12"/>
      <c r="E3" s="12"/>
      <c r="F3" s="12"/>
      <c r="G3" s="12"/>
    </row>
    <row r="5" customFormat="false" ht="19.5" hidden="false" customHeight="true" outlineLevel="0" collapsed="false">
      <c r="A5" s="3" t="s">
        <v>39</v>
      </c>
      <c r="B5" s="3" t="s">
        <v>2</v>
      </c>
      <c r="C5" s="3" t="s">
        <v>3</v>
      </c>
      <c r="D5" s="3" t="s">
        <v>40</v>
      </c>
      <c r="E5" s="3" t="s">
        <v>41</v>
      </c>
      <c r="F5" s="3" t="s">
        <v>4</v>
      </c>
      <c r="G5" s="3" t="s">
        <v>42</v>
      </c>
    </row>
    <row r="6" customFormat="false" ht="54" hidden="false" customHeight="true" outlineLevel="0" collapsed="false">
      <c r="A6" s="13" t="s">
        <v>43</v>
      </c>
      <c r="B6" s="14" t="s">
        <v>7</v>
      </c>
      <c r="C6" s="14" t="s">
        <v>8</v>
      </c>
      <c r="D6" s="13" t="s">
        <v>44</v>
      </c>
      <c r="E6" s="13" t="s">
        <v>45</v>
      </c>
      <c r="F6" s="15" t="n">
        <v>8</v>
      </c>
      <c r="G6" s="13" t="s">
        <v>10</v>
      </c>
    </row>
    <row r="7" customFormat="false" ht="54" hidden="false" customHeight="true" outlineLevel="0" collapsed="false">
      <c r="A7" s="16" t="s">
        <v>43</v>
      </c>
      <c r="B7" s="17" t="s">
        <v>11</v>
      </c>
      <c r="C7" s="17" t="s">
        <v>12</v>
      </c>
      <c r="D7" s="16" t="s">
        <v>46</v>
      </c>
      <c r="E7" s="16" t="s">
        <v>45</v>
      </c>
      <c r="F7" s="18" t="n">
        <v>8</v>
      </c>
      <c r="G7" s="16" t="s">
        <v>13</v>
      </c>
    </row>
    <row r="8" customFormat="false" ht="54" hidden="false" customHeight="true" outlineLevel="0" collapsed="false">
      <c r="A8" s="13" t="s">
        <v>43</v>
      </c>
      <c r="B8" s="14" t="s">
        <v>14</v>
      </c>
      <c r="C8" s="14" t="s">
        <v>15</v>
      </c>
      <c r="D8" s="13" t="s">
        <v>46</v>
      </c>
      <c r="E8" s="13" t="s">
        <v>47</v>
      </c>
      <c r="F8" s="15" t="n">
        <v>8</v>
      </c>
      <c r="G8" s="13" t="s">
        <v>16</v>
      </c>
    </row>
    <row r="9" customFormat="false" ht="54" hidden="false" customHeight="true" outlineLevel="0" collapsed="false">
      <c r="A9" s="16" t="s">
        <v>43</v>
      </c>
      <c r="B9" s="17" t="s">
        <v>17</v>
      </c>
      <c r="C9" s="17" t="s">
        <v>18</v>
      </c>
      <c r="D9" s="16" t="s">
        <v>46</v>
      </c>
      <c r="E9" s="16" t="s">
        <v>47</v>
      </c>
      <c r="F9" s="18" t="n">
        <v>8</v>
      </c>
      <c r="G9" s="16" t="s">
        <v>19</v>
      </c>
    </row>
    <row r="10" customFormat="false" ht="54" hidden="false" customHeight="true" outlineLevel="0" collapsed="false">
      <c r="A10" s="13" t="s">
        <v>43</v>
      </c>
      <c r="B10" s="14" t="s">
        <v>20</v>
      </c>
      <c r="C10" s="14" t="s">
        <v>21</v>
      </c>
      <c r="D10" s="13" t="s">
        <v>48</v>
      </c>
      <c r="E10" s="13" t="s">
        <v>49</v>
      </c>
      <c r="F10" s="15" t="n">
        <v>8</v>
      </c>
      <c r="G10" s="13" t="s">
        <v>23</v>
      </c>
    </row>
    <row r="11" customFormat="false" ht="18" hidden="false" customHeight="true" outlineLevel="0" collapsed="false">
      <c r="A11" s="19"/>
      <c r="B11" s="19"/>
      <c r="C11" s="19"/>
      <c r="D11" s="19"/>
      <c r="E11" s="20" t="s">
        <v>50</v>
      </c>
      <c r="F11" s="21" t="n">
        <f aca="false">SUM(F6:F10)</f>
        <v>40</v>
      </c>
      <c r="G11" s="19"/>
    </row>
    <row r="13" customFormat="false" ht="54" hidden="false" customHeight="true" outlineLevel="0" collapsed="false">
      <c r="A13" s="13" t="s">
        <v>51</v>
      </c>
      <c r="B13" s="14" t="s">
        <v>24</v>
      </c>
      <c r="C13" s="14" t="s">
        <v>8</v>
      </c>
      <c r="D13" s="13" t="s">
        <v>52</v>
      </c>
      <c r="E13" s="13" t="s">
        <v>53</v>
      </c>
      <c r="F13" s="15" t="n">
        <v>8</v>
      </c>
      <c r="G13" s="13" t="s">
        <v>26</v>
      </c>
    </row>
    <row r="14" customFormat="false" ht="54" hidden="false" customHeight="true" outlineLevel="0" collapsed="false">
      <c r="A14" s="16" t="s">
        <v>51</v>
      </c>
      <c r="B14" s="17" t="s">
        <v>27</v>
      </c>
      <c r="C14" s="17" t="s">
        <v>12</v>
      </c>
      <c r="D14" s="16" t="s">
        <v>44</v>
      </c>
      <c r="E14" s="16" t="s">
        <v>47</v>
      </c>
      <c r="F14" s="18" t="n">
        <v>8</v>
      </c>
      <c r="G14" s="16" t="s">
        <v>28</v>
      </c>
    </row>
    <row r="15" customFormat="false" ht="54" hidden="false" customHeight="true" outlineLevel="0" collapsed="false">
      <c r="A15" s="13" t="s">
        <v>51</v>
      </c>
      <c r="B15" s="14" t="s">
        <v>29</v>
      </c>
      <c r="C15" s="14" t="s">
        <v>15</v>
      </c>
      <c r="D15" s="13" t="s">
        <v>46</v>
      </c>
      <c r="E15" s="13" t="s">
        <v>47</v>
      </c>
      <c r="F15" s="15" t="n">
        <v>8</v>
      </c>
      <c r="G15" s="13" t="s">
        <v>30</v>
      </c>
    </row>
    <row r="16" customFormat="false" ht="54" hidden="false" customHeight="true" outlineLevel="0" collapsed="false">
      <c r="A16" s="16" t="s">
        <v>51</v>
      </c>
      <c r="B16" s="17" t="s">
        <v>31</v>
      </c>
      <c r="C16" s="17" t="s">
        <v>18</v>
      </c>
      <c r="D16" s="16" t="s">
        <v>46</v>
      </c>
      <c r="E16" s="16" t="s">
        <v>54</v>
      </c>
      <c r="F16" s="18" t="n">
        <v>8</v>
      </c>
      <c r="G16" s="16" t="s">
        <v>32</v>
      </c>
    </row>
    <row r="17" customFormat="false" ht="54" hidden="false" customHeight="true" outlineLevel="0" collapsed="false">
      <c r="A17" s="13" t="s">
        <v>51</v>
      </c>
      <c r="B17" s="14" t="s">
        <v>33</v>
      </c>
      <c r="C17" s="14" t="s">
        <v>21</v>
      </c>
      <c r="D17" s="13" t="s">
        <v>46</v>
      </c>
      <c r="E17" s="13" t="s">
        <v>55</v>
      </c>
      <c r="F17" s="15" t="n">
        <v>8</v>
      </c>
      <c r="G17" s="13" t="s">
        <v>34</v>
      </c>
    </row>
    <row r="18" customFormat="false" ht="18" hidden="false" customHeight="true" outlineLevel="0" collapsed="false">
      <c r="A18" s="19"/>
      <c r="B18" s="19"/>
      <c r="C18" s="19"/>
      <c r="D18" s="19"/>
      <c r="E18" s="20" t="s">
        <v>56</v>
      </c>
      <c r="F18" s="21" t="n">
        <f aca="false">SUM(F13:F17)</f>
        <v>40</v>
      </c>
      <c r="G18" s="19"/>
    </row>
    <row r="20" customFormat="false" ht="21.75" hidden="false" customHeight="true" outlineLevel="0" collapsed="false">
      <c r="A20" s="22"/>
      <c r="B20" s="22"/>
      <c r="C20" s="22"/>
      <c r="D20" s="22"/>
      <c r="E20" s="23" t="s">
        <v>57</v>
      </c>
      <c r="F20" s="24" t="n">
        <f aca="false">F11+F18</f>
        <v>80</v>
      </c>
      <c r="G20" s="22"/>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15"/>
    <col collapsed="false" customWidth="true" hidden="false" outlineLevel="0" max="4" min="4" style="0" width="11"/>
    <col collapsed="false" customWidth="true" hidden="false" outlineLevel="0" max="9" min="9" style="0" width="9"/>
    <col collapsed="false" customWidth="true" hidden="false" outlineLevel="0" max="10" min="10" style="0" width="11"/>
  </cols>
  <sheetData>
    <row r="1" customFormat="false" ht="25.5" hidden="false" customHeight="true" outlineLevel="0" collapsed="false">
      <c r="A1" s="1" t="s">
        <v>58</v>
      </c>
      <c r="B1" s="1"/>
      <c r="C1" s="1"/>
      <c r="D1" s="1"/>
      <c r="E1" s="1"/>
      <c r="F1" s="1"/>
      <c r="G1" s="1"/>
      <c r="H1" s="1"/>
      <c r="I1" s="1"/>
      <c r="J1" s="1"/>
    </row>
    <row r="2" customFormat="false" ht="27.75" hidden="false" customHeight="true" outlineLevel="0" collapsed="false">
      <c r="A2" s="2" t="s">
        <v>59</v>
      </c>
      <c r="B2" s="2"/>
      <c r="C2" s="2"/>
      <c r="D2" s="2"/>
      <c r="E2" s="2"/>
      <c r="F2" s="2"/>
      <c r="G2" s="2"/>
      <c r="H2" s="2"/>
      <c r="I2" s="2"/>
      <c r="J2" s="2"/>
    </row>
    <row r="4" customFormat="false" ht="30" hidden="false" customHeight="true" outlineLevel="0" collapsed="false">
      <c r="A4" s="25" t="s">
        <v>2</v>
      </c>
      <c r="B4" s="25" t="s">
        <v>3</v>
      </c>
      <c r="C4" s="25" t="s">
        <v>60</v>
      </c>
      <c r="D4" s="25" t="s">
        <v>61</v>
      </c>
      <c r="E4" s="25" t="s">
        <v>62</v>
      </c>
      <c r="F4" s="25" t="s">
        <v>63</v>
      </c>
      <c r="G4" s="25" t="s">
        <v>64</v>
      </c>
      <c r="H4" s="25" t="s">
        <v>65</v>
      </c>
      <c r="I4" s="25" t="s">
        <v>66</v>
      </c>
      <c r="J4" s="25" t="s">
        <v>67</v>
      </c>
    </row>
    <row r="5" customFormat="false" ht="18" hidden="false" customHeight="true" outlineLevel="0" collapsed="false">
      <c r="A5" s="26" t="s">
        <v>68</v>
      </c>
      <c r="B5" s="26"/>
      <c r="C5" s="26"/>
      <c r="D5" s="26"/>
      <c r="E5" s="26"/>
      <c r="F5" s="26"/>
      <c r="G5" s="26"/>
      <c r="H5" s="26"/>
      <c r="I5" s="26"/>
      <c r="J5" s="26"/>
    </row>
    <row r="6" customFormat="false" ht="15" hidden="false" customHeight="true" outlineLevel="0" collapsed="false">
      <c r="A6" s="14" t="s">
        <v>7</v>
      </c>
      <c r="B6" s="14" t="s">
        <v>8</v>
      </c>
      <c r="C6" s="15" t="n">
        <v>8</v>
      </c>
      <c r="D6" s="15" t="n">
        <v>0</v>
      </c>
      <c r="E6" s="15" t="n">
        <f aca="false">C6+D6</f>
        <v>8</v>
      </c>
      <c r="F6" s="15" t="n">
        <v>8</v>
      </c>
      <c r="G6" s="15" t="n">
        <v>0</v>
      </c>
      <c r="H6" s="15" t="n">
        <v>0</v>
      </c>
      <c r="I6" s="15" t="n">
        <f aca="false">F6+G6+H6</f>
        <v>8</v>
      </c>
      <c r="J6" s="14" t="str">
        <f aca="false">IF(AND(E6=I6,C6=F6+G6,D6=H6),"MATCH","CHECK")</f>
        <v>MATCH</v>
      </c>
    </row>
    <row r="7" customFormat="false" ht="15" hidden="false" customHeight="true" outlineLevel="0" collapsed="false">
      <c r="A7" s="17" t="s">
        <v>11</v>
      </c>
      <c r="B7" s="17" t="s">
        <v>12</v>
      </c>
      <c r="C7" s="18" t="n">
        <v>8</v>
      </c>
      <c r="D7" s="18" t="n">
        <v>0</v>
      </c>
      <c r="E7" s="18" t="n">
        <f aca="false">C7+D7</f>
        <v>8</v>
      </c>
      <c r="F7" s="18" t="n">
        <v>8</v>
      </c>
      <c r="G7" s="18" t="n">
        <v>0</v>
      </c>
      <c r="H7" s="18" t="n">
        <v>0</v>
      </c>
      <c r="I7" s="18" t="n">
        <f aca="false">F7+G7+H7</f>
        <v>8</v>
      </c>
      <c r="J7" s="17" t="str">
        <f aca="false">IF(AND(E7=I7,C7=F7+G7,D7=H7),"MATCH","CHECK")</f>
        <v>MATCH</v>
      </c>
    </row>
    <row r="8" customFormat="false" ht="15" hidden="false" customHeight="true" outlineLevel="0" collapsed="false">
      <c r="A8" s="14" t="s">
        <v>14</v>
      </c>
      <c r="B8" s="14" t="s">
        <v>15</v>
      </c>
      <c r="C8" s="15" t="n">
        <v>8</v>
      </c>
      <c r="D8" s="15" t="n">
        <v>0</v>
      </c>
      <c r="E8" s="15" t="n">
        <f aca="false">C8+D8</f>
        <v>8</v>
      </c>
      <c r="F8" s="15" t="n">
        <v>8</v>
      </c>
      <c r="G8" s="15" t="n">
        <v>0</v>
      </c>
      <c r="H8" s="15" t="n">
        <v>0</v>
      </c>
      <c r="I8" s="15" t="n">
        <f aca="false">F8+G8+H8</f>
        <v>8</v>
      </c>
      <c r="J8" s="14" t="str">
        <f aca="false">IF(AND(E8=I8,C8=F8+G8,D8=H8),"MATCH","CHECK")</f>
        <v>MATCH</v>
      </c>
    </row>
    <row r="9" customFormat="false" ht="15" hidden="false" customHeight="true" outlineLevel="0" collapsed="false">
      <c r="A9" s="17" t="s">
        <v>17</v>
      </c>
      <c r="B9" s="17" t="s">
        <v>18</v>
      </c>
      <c r="C9" s="18" t="n">
        <v>8</v>
      </c>
      <c r="D9" s="18" t="n">
        <v>0</v>
      </c>
      <c r="E9" s="18" t="n">
        <f aca="false">C9+D9</f>
        <v>8</v>
      </c>
      <c r="F9" s="18" t="n">
        <v>8</v>
      </c>
      <c r="G9" s="18" t="n">
        <v>0</v>
      </c>
      <c r="H9" s="18" t="n">
        <v>0</v>
      </c>
      <c r="I9" s="18" t="n">
        <f aca="false">F9+G9+H9</f>
        <v>8</v>
      </c>
      <c r="J9" s="17" t="str">
        <f aca="false">IF(AND(E9=I9,C9=F9+G9,D9=H9),"MATCH","CHECK")</f>
        <v>MATCH</v>
      </c>
    </row>
    <row r="10" customFormat="false" ht="15" hidden="false" customHeight="true" outlineLevel="0" collapsed="false">
      <c r="A10" s="14" t="s">
        <v>20</v>
      </c>
      <c r="B10" s="14" t="s">
        <v>21</v>
      </c>
      <c r="C10" s="15" t="n">
        <v>0</v>
      </c>
      <c r="D10" s="15" t="n">
        <v>8</v>
      </c>
      <c r="E10" s="15" t="n">
        <f aca="false">C10+D10</f>
        <v>8</v>
      </c>
      <c r="F10" s="15" t="n">
        <v>0</v>
      </c>
      <c r="G10" s="15" t="n">
        <v>0</v>
      </c>
      <c r="H10" s="15" t="n">
        <v>8</v>
      </c>
      <c r="I10" s="15" t="n">
        <f aca="false">F10+G10+H10</f>
        <v>8</v>
      </c>
      <c r="J10" s="14" t="str">
        <f aca="false">IF(AND(E10=I10,C10=F10+G10,D10=H10),"MATCH","CHECK")</f>
        <v>MATCH</v>
      </c>
    </row>
    <row r="11" customFormat="false" ht="18" hidden="false" customHeight="true" outlineLevel="0" collapsed="false">
      <c r="A11" s="20" t="s">
        <v>69</v>
      </c>
      <c r="B11" s="19"/>
      <c r="C11" s="21" t="n">
        <f aca="false">SUM(C6:C10)</f>
        <v>32</v>
      </c>
      <c r="D11" s="21" t="n">
        <f aca="false">SUM(D6:D10)</f>
        <v>8</v>
      </c>
      <c r="E11" s="21" t="n">
        <f aca="false">SUM(E6:E10)</f>
        <v>40</v>
      </c>
      <c r="F11" s="21" t="n">
        <f aca="false">SUM(F6:F10)</f>
        <v>32</v>
      </c>
      <c r="G11" s="21" t="n">
        <f aca="false">SUM(G6:G10)</f>
        <v>0</v>
      </c>
      <c r="H11" s="21" t="n">
        <f aca="false">SUM(H6:H10)</f>
        <v>8</v>
      </c>
      <c r="I11" s="21" t="n">
        <f aca="false">SUM(I6:I10)</f>
        <v>40</v>
      </c>
      <c r="J11" s="27" t="str">
        <f aca="false">IF(AND(E11=I11,C11=F11+G11,D11=H11),"MATCH","CHECK")</f>
        <v>MATCH</v>
      </c>
    </row>
    <row r="12" customFormat="false" ht="18" hidden="false" customHeight="true" outlineLevel="0" collapsed="false">
      <c r="A12" s="26" t="s">
        <v>70</v>
      </c>
      <c r="B12" s="26"/>
      <c r="C12" s="26"/>
      <c r="D12" s="26"/>
      <c r="E12" s="26"/>
      <c r="F12" s="26"/>
      <c r="G12" s="26"/>
      <c r="H12" s="26"/>
      <c r="I12" s="26"/>
      <c r="J12" s="26"/>
    </row>
    <row r="13" customFormat="false" ht="15" hidden="false" customHeight="true" outlineLevel="0" collapsed="false">
      <c r="A13" s="14" t="s">
        <v>24</v>
      </c>
      <c r="B13" s="14" t="s">
        <v>8</v>
      </c>
      <c r="C13" s="15" t="n">
        <v>0</v>
      </c>
      <c r="D13" s="15" t="n">
        <v>8</v>
      </c>
      <c r="E13" s="15" t="n">
        <f aca="false">C13+D13</f>
        <v>8</v>
      </c>
      <c r="F13" s="15" t="n">
        <v>0</v>
      </c>
      <c r="G13" s="15" t="n">
        <v>0</v>
      </c>
      <c r="H13" s="15" t="n">
        <v>8</v>
      </c>
      <c r="I13" s="15" t="n">
        <f aca="false">F13+G13+H13</f>
        <v>8</v>
      </c>
      <c r="J13" s="14" t="str">
        <f aca="false">IF(AND(E13=I13,C13=F13+G13,D13=H13),"MATCH","CHECK")</f>
        <v>MATCH</v>
      </c>
    </row>
    <row r="14" customFormat="false" ht="15" hidden="false" customHeight="true" outlineLevel="0" collapsed="false">
      <c r="A14" s="17" t="s">
        <v>27</v>
      </c>
      <c r="B14" s="17" t="s">
        <v>12</v>
      </c>
      <c r="C14" s="18" t="n">
        <v>8</v>
      </c>
      <c r="D14" s="18" t="n">
        <v>0</v>
      </c>
      <c r="E14" s="18" t="n">
        <f aca="false">C14+D14</f>
        <v>8</v>
      </c>
      <c r="F14" s="18" t="n">
        <v>8</v>
      </c>
      <c r="G14" s="18" t="n">
        <v>0</v>
      </c>
      <c r="H14" s="18" t="n">
        <v>0</v>
      </c>
      <c r="I14" s="18" t="n">
        <f aca="false">F14+G14+H14</f>
        <v>8</v>
      </c>
      <c r="J14" s="17" t="str">
        <f aca="false">IF(AND(E14=I14,C14=F14+G14,D14=H14),"MATCH","CHECK")</f>
        <v>MATCH</v>
      </c>
    </row>
    <row r="15" customFormat="false" ht="15" hidden="false" customHeight="true" outlineLevel="0" collapsed="false">
      <c r="A15" s="14" t="s">
        <v>29</v>
      </c>
      <c r="B15" s="14" t="s">
        <v>15</v>
      </c>
      <c r="C15" s="15" t="n">
        <v>8</v>
      </c>
      <c r="D15" s="15" t="n">
        <v>0</v>
      </c>
      <c r="E15" s="15" t="n">
        <f aca="false">C15+D15</f>
        <v>8</v>
      </c>
      <c r="F15" s="15" t="n">
        <v>8</v>
      </c>
      <c r="G15" s="15" t="n">
        <v>0</v>
      </c>
      <c r="H15" s="15" t="n">
        <v>0</v>
      </c>
      <c r="I15" s="15" t="n">
        <f aca="false">F15+G15+H15</f>
        <v>8</v>
      </c>
      <c r="J15" s="14" t="str">
        <f aca="false">IF(AND(E15=I15,C15=F15+G15,D15=H15),"MATCH","CHECK")</f>
        <v>MATCH</v>
      </c>
    </row>
    <row r="16" customFormat="false" ht="15" hidden="false" customHeight="true" outlineLevel="0" collapsed="false">
      <c r="A16" s="17" t="s">
        <v>31</v>
      </c>
      <c r="B16" s="17" t="s">
        <v>18</v>
      </c>
      <c r="C16" s="18" t="n">
        <v>8</v>
      </c>
      <c r="D16" s="18" t="n">
        <v>0</v>
      </c>
      <c r="E16" s="18" t="n">
        <f aca="false">C16+D16</f>
        <v>8</v>
      </c>
      <c r="F16" s="18" t="n">
        <v>8</v>
      </c>
      <c r="G16" s="18" t="n">
        <v>0</v>
      </c>
      <c r="H16" s="18" t="n">
        <v>0</v>
      </c>
      <c r="I16" s="18" t="n">
        <f aca="false">F16+G16+H16</f>
        <v>8</v>
      </c>
      <c r="J16" s="17" t="str">
        <f aca="false">IF(AND(E16=I16,C16=F16+G16,D16=H16),"MATCH","CHECK")</f>
        <v>MATCH</v>
      </c>
    </row>
    <row r="17" customFormat="false" ht="15" hidden="false" customHeight="true" outlineLevel="0" collapsed="false">
      <c r="A17" s="14" t="s">
        <v>33</v>
      </c>
      <c r="B17" s="14" t="s">
        <v>21</v>
      </c>
      <c r="C17" s="15" t="n">
        <v>8</v>
      </c>
      <c r="D17" s="15" t="n">
        <v>0</v>
      </c>
      <c r="E17" s="15" t="n">
        <f aca="false">C17+D17</f>
        <v>8</v>
      </c>
      <c r="F17" s="15" t="n">
        <v>8</v>
      </c>
      <c r="G17" s="15" t="n">
        <v>0</v>
      </c>
      <c r="H17" s="15" t="n">
        <v>0</v>
      </c>
      <c r="I17" s="15" t="n">
        <f aca="false">F17+G17+H17</f>
        <v>8</v>
      </c>
      <c r="J17" s="14" t="str">
        <f aca="false">IF(AND(E17=I17,C17=F17+G17,D17=H17),"MATCH","CHECK")</f>
        <v>MATCH</v>
      </c>
    </row>
    <row r="18" customFormat="false" ht="18" hidden="false" customHeight="true" outlineLevel="0" collapsed="false">
      <c r="A18" s="20" t="s">
        <v>69</v>
      </c>
      <c r="B18" s="19"/>
      <c r="C18" s="21" t="n">
        <f aca="false">SUM(C13:C17)</f>
        <v>32</v>
      </c>
      <c r="D18" s="21" t="n">
        <f aca="false">SUM(D13:D17)</f>
        <v>8</v>
      </c>
      <c r="E18" s="21" t="n">
        <f aca="false">SUM(E13:E17)</f>
        <v>40</v>
      </c>
      <c r="F18" s="21" t="n">
        <f aca="false">SUM(F13:F17)</f>
        <v>32</v>
      </c>
      <c r="G18" s="21" t="n">
        <f aca="false">SUM(G13:G17)</f>
        <v>0</v>
      </c>
      <c r="H18" s="21" t="n">
        <f aca="false">SUM(H13:H17)</f>
        <v>8</v>
      </c>
      <c r="I18" s="21" t="n">
        <f aca="false">SUM(I13:I17)</f>
        <v>40</v>
      </c>
      <c r="J18" s="27" t="str">
        <f aca="false">IF(AND(E18=I18,C18=F18+G18,D18=H18),"MATCH","CHECK")</f>
        <v>MATCH</v>
      </c>
    </row>
    <row r="20" customFormat="false" ht="21.75" hidden="false" customHeight="true" outlineLevel="0" collapsed="false">
      <c r="A20" s="23" t="s">
        <v>71</v>
      </c>
      <c r="B20" s="22"/>
      <c r="C20" s="24" t="n">
        <f aca="false">C11+C18</f>
        <v>64</v>
      </c>
      <c r="D20" s="24" t="n">
        <f aca="false">D11+D18</f>
        <v>16</v>
      </c>
      <c r="E20" s="24" t="n">
        <f aca="false">E11+E18</f>
        <v>80</v>
      </c>
      <c r="F20" s="24" t="n">
        <f aca="false">F11+F18</f>
        <v>64</v>
      </c>
      <c r="G20" s="24" t="n">
        <f aca="false">G11+G18</f>
        <v>0</v>
      </c>
      <c r="H20" s="24" t="n">
        <f aca="false">H11+H18</f>
        <v>16</v>
      </c>
      <c r="I20" s="24" t="n">
        <f aca="false">I11+I18</f>
        <v>80</v>
      </c>
      <c r="J20" s="28" t="str">
        <f aca="false">IF(AND(E20=I20,C20=F20+G20,D20=H20),"MATCH","CHECK")</f>
        <v>MATCH</v>
      </c>
    </row>
    <row r="22" customFormat="false" ht="13.5" hidden="false" customHeight="true" outlineLevel="0" collapsed="false">
      <c r="A22" s="11" t="s">
        <v>72</v>
      </c>
      <c r="B22" s="11"/>
      <c r="C22" s="11"/>
      <c r="D22" s="11"/>
      <c r="E22" s="11"/>
      <c r="F22" s="11"/>
      <c r="G22" s="11"/>
      <c r="H22" s="11"/>
      <c r="I22" s="11"/>
      <c r="J22" s="11"/>
    </row>
    <row r="23" customFormat="false" ht="27" hidden="false" customHeight="true" outlineLevel="0" collapsed="false">
      <c r="A23" s="11" t="s">
        <v>73</v>
      </c>
      <c r="B23" s="11"/>
      <c r="C23" s="11"/>
      <c r="D23" s="11"/>
      <c r="E23" s="11"/>
      <c r="F23" s="11"/>
      <c r="G23" s="11"/>
      <c r="H23" s="11"/>
      <c r="I23" s="11"/>
      <c r="J23" s="11"/>
    </row>
    <row r="24" customFormat="false" ht="27" hidden="false" customHeight="true" outlineLevel="0" collapsed="false">
      <c r="A24" s="11" t="s">
        <v>74</v>
      </c>
      <c r="B24" s="11"/>
      <c r="C24" s="11"/>
      <c r="D24" s="11"/>
      <c r="E24" s="11"/>
      <c r="F24" s="11"/>
      <c r="G24" s="11"/>
      <c r="H24" s="11"/>
      <c r="I24" s="11"/>
      <c r="J24" s="11"/>
    </row>
    <row r="25" customFormat="false" ht="27" hidden="false" customHeight="true" outlineLevel="0" collapsed="false">
      <c r="A25" s="11" t="s">
        <v>75</v>
      </c>
      <c r="B25" s="11"/>
      <c r="C25" s="11"/>
      <c r="D25" s="11"/>
      <c r="E25" s="11"/>
      <c r="F25" s="11"/>
      <c r="G25" s="11"/>
      <c r="H25" s="11"/>
      <c r="I25" s="11"/>
      <c r="J25" s="11"/>
    </row>
    <row r="26" customFormat="false" ht="27" hidden="false" customHeight="true" outlineLevel="0" collapsed="false">
      <c r="A26" s="11" t="s">
        <v>76</v>
      </c>
      <c r="B26" s="11"/>
      <c r="C26" s="11"/>
      <c r="D26" s="11"/>
      <c r="E26" s="11"/>
      <c r="F26" s="11"/>
      <c r="G26" s="11"/>
      <c r="H26" s="11"/>
      <c r="I26" s="11"/>
      <c r="J26" s="11"/>
    </row>
  </sheetData>
  <mergeCells count="9">
    <mergeCell ref="A1:J1"/>
    <mergeCell ref="A2:J2"/>
    <mergeCell ref="A5:J5"/>
    <mergeCell ref="A12:J12"/>
    <mergeCell ref="A22:J22"/>
    <mergeCell ref="A23:J23"/>
    <mergeCell ref="A24:J24"/>
    <mergeCell ref="A25:J25"/>
    <mergeCell ref="A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2026-09-08T10:34:16Z</dcterms:created>
  <dc:creator>Mihir Kumar Singh</dc:creator>
  <dc:description/>
  <dc:language>en-US</dc:language>
  <cp:lastModifiedBy>Mihir Kumar Singh</cp:lastModifiedBy>
  <dcterms:modified xsi:type="dcterms:W3CDTF">2026-09-08T10:34:16Z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