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 Notes (Copy-Paste)" sheetId="1" state="visible" r:id="rId1"/>
    <sheet xmlns:r="http://schemas.openxmlformats.org/officeDocument/2006/relationships" name="ServiceNow Daily Timecard" sheetId="2" state="visible" r:id="rId2"/>
    <sheet xmlns:r="http://schemas.openxmlformats.org/officeDocument/2006/relationships" name="Deloitte Reconciliation"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4"/>
    </font>
    <font>
      <name val="Arial"/>
      <color rgb="FF000000"/>
      <sz val="9"/>
    </font>
    <font>
      <name val="Arial"/>
      <b val="1"/>
      <color rgb="FFFFFFFF"/>
      <sz val="10"/>
    </font>
    <font>
      <name val="Arial"/>
      <color rgb="FF000000"/>
      <sz val="10"/>
    </font>
    <font>
      <name val="Arial"/>
      <color rgb="FF44546A"/>
      <sz val="8.5"/>
    </font>
    <font>
      <name val="Arial"/>
      <color rgb="FF000000"/>
      <sz val="9.5"/>
    </font>
    <font>
      <name val="Arial"/>
      <b val="1"/>
      <color rgb="FF152744"/>
      <sz val="10"/>
    </font>
    <font>
      <name val="Arial"/>
      <b val="1"/>
      <color rgb="FFFFFFFF"/>
      <sz val="11"/>
    </font>
    <font>
      <name val="Arial"/>
      <b val="1"/>
      <color rgb="FFFFFFFF"/>
      <sz val="9.5"/>
    </font>
  </fonts>
  <fills count="6">
    <fill>
      <patternFill/>
    </fill>
    <fill>
      <patternFill patternType="gray125"/>
    </fill>
    <fill>
      <patternFill patternType="solid">
        <fgColor rgb="FF1F3864"/>
        <bgColor rgb="FF1F3864"/>
      </patternFill>
    </fill>
    <fill>
      <patternFill patternType="solid">
        <fgColor rgb="FFEAF0F8"/>
        <bgColor rgb="FFEAF0F8"/>
      </patternFill>
    </fill>
    <fill>
      <patternFill patternType="solid">
        <fgColor rgb="FFD6E1F0"/>
        <bgColor rgb="FFD6E1F0"/>
      </patternFill>
    </fill>
    <fill>
      <patternFill patternType="solid">
        <fgColor rgb="FF152744"/>
        <bgColor rgb="FF15274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4" fillId="0" borderId="1" applyAlignment="1" pivotButton="0" quotePrefix="0" xfId="0">
      <alignment horizontal="center" vertical="center"/>
    </xf>
    <xf numFmtId="2"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center" vertical="center"/>
    </xf>
    <xf numFmtId="2" fontId="4" fillId="3" borderId="1" applyAlignment="1" pivotButton="0" quotePrefix="0" xfId="0">
      <alignment horizontal="center" vertical="center"/>
    </xf>
    <xf numFmtId="0" fontId="4" fillId="3" borderId="1"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xf>
    <xf numFmtId="0" fontId="6" fillId="0" borderId="1" applyAlignment="1" pivotButton="0" quotePrefix="0" xfId="0">
      <alignment horizontal="left" vertical="center" wrapText="1"/>
    </xf>
    <xf numFmtId="0" fontId="6" fillId="0" borderId="1" applyAlignment="1" pivotButton="0" quotePrefix="0" xfId="0">
      <alignment horizontal="center" vertical="center"/>
    </xf>
    <xf numFmtId="2" fontId="6" fillId="0" borderId="1" applyAlignment="1" pivotButton="0" quotePrefix="0" xfId="0">
      <alignment horizontal="center" vertical="center"/>
    </xf>
    <xf numFmtId="0" fontId="6" fillId="3" borderId="1" applyAlignment="1" pivotButton="0" quotePrefix="0" xfId="0">
      <alignment horizontal="left" vertical="center" wrapText="1"/>
    </xf>
    <xf numFmtId="0" fontId="6" fillId="3" borderId="1" applyAlignment="1" pivotButton="0" quotePrefix="0" xfId="0">
      <alignment horizontal="center" vertical="center"/>
    </xf>
    <xf numFmtId="2" fontId="6" fillId="3"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right" vertical="center"/>
    </xf>
    <xf numFmtId="2" fontId="7" fillId="4" borderId="1" applyAlignment="1" pivotButton="0" quotePrefix="0" xfId="0">
      <alignment horizontal="center" vertical="center"/>
    </xf>
    <xf numFmtId="0" fontId="8" fillId="2" borderId="1" applyAlignment="1" pivotButton="0" quotePrefix="0" xfId="0">
      <alignment horizontal="left" vertical="center"/>
    </xf>
    <xf numFmtId="0" fontId="8" fillId="2" borderId="1" applyAlignment="1" pivotButton="0" quotePrefix="0" xfId="0">
      <alignment horizontal="right" vertical="center"/>
    </xf>
    <xf numFmtId="2" fontId="8" fillId="2" borderId="1" applyAlignment="1" pivotButton="0" quotePrefix="0" xfId="0">
      <alignment horizontal="center" vertical="center"/>
    </xf>
    <xf numFmtId="0" fontId="9" fillId="2" borderId="1" applyAlignment="1" pivotButton="0" quotePrefix="0" xfId="0">
      <alignment horizontal="center" vertical="center" wrapText="1"/>
    </xf>
    <xf numFmtId="0" fontId="3" fillId="5" borderId="0" applyAlignment="1" pivotButton="0" quotePrefix="0" xfId="0">
      <alignment horizontal="left" vertical="center"/>
    </xf>
    <xf numFmtId="0" fontId="7" fillId="4" borderId="1" applyAlignment="1" pivotButton="0" quotePrefix="0" xfId="0">
      <alignment horizontal="center" vertical="center"/>
    </xf>
    <xf numFmtId="0" fontId="8"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13" customWidth="1" min="1" max="1"/>
    <col width="7" customWidth="1" min="2" max="2"/>
    <col width="9" customWidth="1" min="3" max="3"/>
    <col width="22" customWidth="1" min="4" max="4"/>
    <col width="104" customWidth="1" min="5" max="5"/>
  </cols>
  <sheetData>
    <row r="1" ht="25.5" customHeight="1">
      <c r="A1" s="1" t="inlineStr">
        <is>
          <t>ServiceNow Time Card  |  Daily Notes, one day per cell</t>
        </is>
      </c>
    </row>
    <row r="2" ht="31.5" customHeight="1">
      <c r="A2" s="2" t="inlineStr">
        <is>
          <t>Period: 14-Sep-2026 to 18-Sep-2026   |   Mihir Kumar Singh, L45 Security Engineer III, Kolkata   |   Bank of America USEM / VMT, AIT 75624   |   JIRA: SNOWUSEMTP.  Format per ServiceNow time-card guidance: [Line] - [Outcome]. Copy a single cell into that day's time-card comment. Daily hours tie to the Deloitte system of record.</t>
        </is>
      </c>
    </row>
    <row r="4" ht="19.5" customHeight="1">
      <c r="A4" s="3" t="inlineStr">
        <is>
          <t>Date</t>
        </is>
      </c>
      <c r="B4" s="3" t="inlineStr">
        <is>
          <t>Day</t>
        </is>
      </c>
      <c r="C4" s="3" t="inlineStr">
        <is>
          <t>Hours</t>
        </is>
      </c>
      <c r="D4" s="3" t="inlineStr">
        <is>
          <t>Time Card Line</t>
        </is>
      </c>
      <c r="E4" s="4" t="inlineStr">
        <is>
          <t>Time Card Note  (copy one cell per day into ServiceNow)</t>
        </is>
      </c>
    </row>
    <row r="5" ht="57.75" customHeight="1">
      <c r="A5" s="5" t="inlineStr">
        <is>
          <t>14-Sep-2026</t>
        </is>
      </c>
      <c r="B5" s="5" t="inlineStr">
        <is>
          <t>Mon</t>
        </is>
      </c>
      <c r="C5" s="6" t="n">
        <v>8</v>
      </c>
      <c r="D5" s="7" t="inlineStr">
        <is>
          <t>Project (8h)</t>
        </is>
      </c>
      <c r="E5" s="7" t="inlineStr">
        <is>
          <t>Analysis - SNOWUSEMTP-895: built the read-only measurement script that replays the Qualys CI lookup chain over a sample of discovered items on the client development instance and reports, per item, the rule that matched, the agreement between the CI found and the scanned host, and the cause of every decline; across two runs of five hundred items the chain reproduced 499 matches, and the unmatched population resolved to hosts absent from the CMDB (87%), class contradictions, duplicate addresses and retired records. Also delivered SNOWUSEMTP-1552: an application vulnerable item keeps its deferral when the scanner closes and re-opens it, exercised through the exception request and approval path. V1.0 delivered.</t>
        </is>
      </c>
    </row>
    <row r="6" ht="57.75" customHeight="1">
      <c r="A6" s="8" t="inlineStr">
        <is>
          <t>15-Sep-2026</t>
        </is>
      </c>
      <c r="B6" s="8" t="inlineStr">
        <is>
          <t>Tue</t>
        </is>
      </c>
      <c r="C6" s="9" t="n">
        <v>8</v>
      </c>
      <c r="D6" s="10" t="inlineStr">
        <is>
          <t>Project (8h)</t>
        </is>
      </c>
      <c r="E6" s="10" t="inlineStr">
        <is>
          <t>Configurations - SNOWUSEMTP-895: closed out the third measurement run with no rule change agreed (retired records stay candidates by the client design expectation) and delivered three rule sets: appliance acceptance on the discovery chain and hardware rules with a host name agreement check on the address rules (V1.1), a device name rule that resolves the contact centre phones and the scanners that sit outside the hardware tree (V1.0), and the load balancer member rule that walks a virtual server through its pool to the one real server behind it (V1.0). Re-issued the six rule scripts in the agreed comment layout and swept the client items for any change in outcome.</t>
        </is>
      </c>
    </row>
    <row r="7" ht="57.75" customHeight="1">
      <c r="A7" s="5" t="inlineStr">
        <is>
          <t>16-Sep-2026</t>
        </is>
      </c>
      <c r="B7" s="5" t="inlineStr">
        <is>
          <t>Wed</t>
        </is>
      </c>
      <c r="C7" s="6" t="n">
        <v>8</v>
      </c>
      <c r="D7" s="7" t="inlineStr">
        <is>
          <t>Project (8h)</t>
        </is>
      </c>
      <c r="E7" s="7" t="inlineStr">
        <is>
          <t>Documentation - SNOWUSEMTP-895: produced the walkthrough material on the CI lookup rules for the architect review: a preparation document covering the chain from the discovery rules through to the NetBIOS rule, a line-by-line explanation of the load balancer member and service rules in everyday words, and flow diagrams of the member, owner and service rules, each walked through with worked examples taken from real discovered items.</t>
        </is>
      </c>
    </row>
    <row r="8" ht="57.75" customHeight="1">
      <c r="A8" s="8" t="inlineStr">
        <is>
          <t>17-Sep-2026</t>
        </is>
      </c>
      <c r="B8" s="8" t="inlineStr">
        <is>
          <t>Thu</t>
        </is>
      </c>
      <c r="C8" s="9" t="n">
        <v>8</v>
      </c>
      <c r="D8" s="10" t="inlineStr">
        <is>
          <t>Project (8h)</t>
        </is>
      </c>
      <c r="E8" s="10" t="inlineStr">
        <is>
          <t>Configurations - SNOWUSEMTP-895: reviewed the client load balancer matches (634 items on the service rule, six on the member rule) and tightened both rules to the exact record standard with no fitness heuristics: the discovery chain rule refuses a balancer at the end of its chain, several service records carrying one name are treated as one virtual server recorded more than once, a pool member the CMDB cannot place makes the member rule decline, and the service rule attaches the virtual server record whenever the machine cannot be named. V1.2 delivered with the per-item explain script and a per-example walkthrough document for the architect. Also delivered SNOWUSEMTP-1825 (nineteen classes added to the ignored CI class property in its own scope) and the certificate class analysis: the relationship export over the 2,370 items on the certificate class showed 244 leading to a single live device, so those items are re-evaluated with the existing rules and no certificate rule is added.</t>
        </is>
      </c>
    </row>
    <row r="9" ht="57.75" customHeight="1">
      <c r="A9" s="5" t="inlineStr">
        <is>
          <t>18-Sep-2026</t>
        </is>
      </c>
      <c r="B9" s="5" t="inlineStr">
        <is>
          <t>Fri</t>
        </is>
      </c>
      <c r="C9" s="6" t="n">
        <v>8</v>
      </c>
      <c r="D9" s="7" t="inlineStr">
        <is>
          <t>Project (8h)</t>
        </is>
      </c>
      <c r="E9" s="7" t="inlineStr">
        <is>
          <t>Configurations - SNOWUSEMTP-1804: built the VAMP outbound for application vulnerable items: the after insert and update business rule, the payload processor and the Kafka producer script include for the verification topic, with the topic and the field mapping held in system properties. The payload carries the envelope and one finding element whose sections are keyed by table name, holding exactly the fields of the mapping sheet with reference fields sent as display values; the ServiceNow field behind every payload name is resolved on the instance rather than assumed. Also produced the read-only field check script that reports, per sheet row, the field found, its type and the rows to raise with the integration team. Tested on findings with and without related records, on insert and on update. V1.6 delivered.</t>
        </is>
      </c>
    </row>
    <row r="11" ht="25.5" customHeight="1">
      <c r="A11" s="11" t="inlineStr">
        <is>
          <t>Week ending 19-Sep carries a single Project line Mon to Fri (8.00h each). See the Reconciliation sheet for the line-by-line tie-out; the Deloitte columns hold the planned 8.00h per day until the approved T&amp;E is available.</t>
        </is>
      </c>
    </row>
  </sheetData>
  <mergeCells count="3">
    <mergeCell ref="A2:E2"/>
    <mergeCell ref="A11:E1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5" topLeftCell="A6" activePane="bottomLeft" state="frozen"/>
      <selection pane="bottomLeft" activeCell="A1" sqref="A1"/>
    </sheetView>
  </sheetViews>
  <sheetFormatPr baseColWidth="8" defaultRowHeight="15"/>
  <cols>
    <col width="15" customWidth="1" min="1" max="1"/>
    <col width="13" customWidth="1" min="2" max="2"/>
    <col width="7" customWidth="1" min="3" max="3"/>
    <col width="17" customWidth="1" min="4" max="4"/>
    <col width="26" customWidth="1" min="5" max="5"/>
    <col width="9" customWidth="1" min="6" max="6"/>
    <col width="92" customWidth="1" min="7" max="7"/>
  </cols>
  <sheetData>
    <row r="1" ht="25.5" customHeight="1">
      <c r="A1" s="1" t="inlineStr">
        <is>
          <t>ServiceNow Time Card  |  Daily Activity Log</t>
        </is>
      </c>
    </row>
    <row r="2" ht="15" customHeight="1">
      <c r="A2" s="12" t="inlineStr">
        <is>
          <t>Resource: Mihir Kumar Singh   |   Role: Security Engineer III (L45), Kolkata   |   Engagement: Bank of America USEM / VMT   |   AIT: 75624   |   Team: SNow Boarders (34830)</t>
        </is>
      </c>
    </row>
    <row r="3" ht="15" customHeight="1">
      <c r="A3" s="12" t="inlineStr">
        <is>
          <t>Period: 14-Sep-2026 to 18-Sep-2026   |   JIRA Project: SNOWUSEMTP   |   Notes format per ServiceNow time-card guidance: [Line] - [Outcome]</t>
        </is>
      </c>
    </row>
    <row r="5" ht="19.5" customHeight="1">
      <c r="A5" s="3" t="inlineStr">
        <is>
          <t>Week Ending</t>
        </is>
      </c>
      <c r="B5" s="3" t="inlineStr">
        <is>
          <t>Date</t>
        </is>
      </c>
      <c r="C5" s="3" t="inlineStr">
        <is>
          <t>Day</t>
        </is>
      </c>
      <c r="D5" s="3" t="inlineStr">
        <is>
          <t>Activity Type</t>
        </is>
      </c>
      <c r="E5" s="3" t="inlineStr">
        <is>
          <t>Story / Reference</t>
        </is>
      </c>
      <c r="F5" s="3" t="inlineStr">
        <is>
          <t>Hours</t>
        </is>
      </c>
      <c r="G5" s="3" t="inlineStr">
        <is>
          <t>Timecard Notes</t>
        </is>
      </c>
    </row>
    <row r="6" ht="54" customHeight="1">
      <c r="A6" s="13" t="inlineStr">
        <is>
          <t>19-Sep-2026</t>
        </is>
      </c>
      <c r="B6" s="14" t="inlineStr">
        <is>
          <t>14-Sep-2026</t>
        </is>
      </c>
      <c r="C6" s="14" t="inlineStr">
        <is>
          <t>Mon</t>
        </is>
      </c>
      <c r="D6" s="13" t="inlineStr">
        <is>
          <t>Analysis</t>
        </is>
      </c>
      <c r="E6" s="13" t="inlineStr">
        <is>
          <t>SNOWUSEMTP-895</t>
        </is>
      </c>
      <c r="F6" s="15" t="n">
        <v>8</v>
      </c>
      <c r="G6" s="13" t="inlineStr">
        <is>
          <t>Analysis - SNOWUSEMTP-895: built the read-only measurement script that replays the Qualys CI lookup chain over a sample of discovered items on the client development instance and reports, per item, the rule that matched, the agreement between the CI found and the scanned host, and the cause of every decline; across two runs of five hundred items the chain reproduced 499 matches, and the unmatched population resolved to hosts absent from the CMDB (87%), class contradictions, duplicate addresses and retired records. Also delivered SNOWUSEMTP-1552: an application vulnerable item keeps its deferral when the scanner closes and re-opens it, exercised through the exception request and approval path. V1.0 delivered.</t>
        </is>
      </c>
    </row>
    <row r="7" ht="54" customHeight="1">
      <c r="A7" s="16" t="inlineStr">
        <is>
          <t>19-Sep-2026</t>
        </is>
      </c>
      <c r="B7" s="17" t="inlineStr">
        <is>
          <t>15-Sep-2026</t>
        </is>
      </c>
      <c r="C7" s="17" t="inlineStr">
        <is>
          <t>Tue</t>
        </is>
      </c>
      <c r="D7" s="16" t="inlineStr">
        <is>
          <t>Configurations</t>
        </is>
      </c>
      <c r="E7" s="16" t="inlineStr">
        <is>
          <t>SNOWUSEMTP-895</t>
        </is>
      </c>
      <c r="F7" s="18" t="n">
        <v>8</v>
      </c>
      <c r="G7" s="16" t="inlineStr">
        <is>
          <t>Configurations - SNOWUSEMTP-895: closed out the third measurement run with no rule change agreed (retired records stay candidates by the client design expectation) and delivered three rule sets: appliance acceptance on the discovery chain and hardware rules with a host name agreement check on the address rules (V1.1), a device name rule that resolves the contact centre phones and the scanners that sit outside the hardware tree (V1.0), and the load balancer member rule that walks a virtual server through its pool to the one real server behind it (V1.0). Re-issued the six rule scripts in the agreed comment layout and swept the client items for any change in outcome.</t>
        </is>
      </c>
    </row>
    <row r="8" ht="54" customHeight="1">
      <c r="A8" s="13" t="inlineStr">
        <is>
          <t>19-Sep-2026</t>
        </is>
      </c>
      <c r="B8" s="14" t="inlineStr">
        <is>
          <t>16-Sep-2026</t>
        </is>
      </c>
      <c r="C8" s="14" t="inlineStr">
        <is>
          <t>Wed</t>
        </is>
      </c>
      <c r="D8" s="13" t="inlineStr">
        <is>
          <t>Documentation</t>
        </is>
      </c>
      <c r="E8" s="13" t="inlineStr">
        <is>
          <t>SNOWUSEMTP-895</t>
        </is>
      </c>
      <c r="F8" s="15" t="n">
        <v>8</v>
      </c>
      <c r="G8" s="13" t="inlineStr">
        <is>
          <t>Documentation - SNOWUSEMTP-895: produced the walkthrough material on the CI lookup rules for the architect review: a preparation document covering the chain from the discovery rules through to the NetBIOS rule, a line-by-line explanation of the load balancer member and service rules in everyday words, and flow diagrams of the member, owner and service rules, each walked through with worked examples taken from real discovered items.</t>
        </is>
      </c>
    </row>
    <row r="9" ht="54" customHeight="1">
      <c r="A9" s="16" t="inlineStr">
        <is>
          <t>19-Sep-2026</t>
        </is>
      </c>
      <c r="B9" s="17" t="inlineStr">
        <is>
          <t>17-Sep-2026</t>
        </is>
      </c>
      <c r="C9" s="17" t="inlineStr">
        <is>
          <t>Thu</t>
        </is>
      </c>
      <c r="D9" s="16" t="inlineStr">
        <is>
          <t>Configurations</t>
        </is>
      </c>
      <c r="E9" s="16" t="inlineStr">
        <is>
          <t>SNOWUSEMTP-895</t>
        </is>
      </c>
      <c r="F9" s="18" t="n">
        <v>8</v>
      </c>
      <c r="G9" s="16" t="inlineStr">
        <is>
          <t>Configurations - SNOWUSEMTP-895: reviewed the client load balancer matches (634 items on the service rule, six on the member rule) and tightened both rules to the exact record standard with no fitness heuristics: the discovery chain rule refuses a balancer at the end of its chain, several service records carrying one name are treated as one virtual server recorded more than once, a pool member the CMDB cannot place makes the member rule decline, and the service rule attaches the virtual server record whenever the machine cannot be named. V1.2 delivered with the per-item explain script and a per-example walkthrough document for the architect. Also delivered SNOWUSEMTP-1825 (nineteen classes added to the ignored CI class property in its own scope) and the certificate class analysis: the relationship export over the 2,370 items on the certificate class showed 244 leading to a single live device, so those items are re-evaluated with the existing rules and no certificate rule is added.</t>
        </is>
      </c>
    </row>
    <row r="10" ht="54" customHeight="1">
      <c r="A10" s="13" t="inlineStr">
        <is>
          <t>19-Sep-2026</t>
        </is>
      </c>
      <c r="B10" s="14" t="inlineStr">
        <is>
          <t>18-Sep-2026</t>
        </is>
      </c>
      <c r="C10" s="14" t="inlineStr">
        <is>
          <t>Fri</t>
        </is>
      </c>
      <c r="D10" s="13" t="inlineStr">
        <is>
          <t>Configurations</t>
        </is>
      </c>
      <c r="E10" s="13" t="inlineStr">
        <is>
          <t>SNOWUSEMTP-1804</t>
        </is>
      </c>
      <c r="F10" s="15" t="n">
        <v>8</v>
      </c>
      <c r="G10" s="13" t="inlineStr">
        <is>
          <t>Configurations - SNOWUSEMTP-1804: built the VAMP outbound for application vulnerable items: the after insert and update business rule, the payload processor and the Kafka producer script include for the verification topic, with the topic and the field mapping held in system properties. The payload carries the envelope and one finding element whose sections are keyed by table name, holding exactly the fields of the mapping sheet with reference fields sent as display values; the ServiceNow field behind every payload name is resolved on the instance rather than assumed. Also produced the read-only field check script that reports, per sheet row, the field found, its type and the rows to raise with the integration team. Tested on findings with and without related records, on insert and on update. V1.6 delivered.</t>
        </is>
      </c>
    </row>
    <row r="11" ht="18" customHeight="1">
      <c r="A11" s="19" t="n"/>
      <c r="B11" s="19" t="n"/>
      <c r="C11" s="19" t="n"/>
      <c r="D11" s="19" t="n"/>
      <c r="E11" s="20" t="inlineStr">
        <is>
          <t>Week ending 19-Sep-2026  Subtotal</t>
        </is>
      </c>
      <c r="F11" s="21">
        <f>SUM(F6:F10)</f>
        <v>40</v>
      </c>
      <c r="G11" s="19" t="n"/>
    </row>
    <row r="13" ht="21.75" customHeight="1">
      <c r="A13" s="22" t="n"/>
      <c r="B13" s="22" t="n"/>
      <c r="C13" s="22" t="n"/>
      <c r="D13" s="22" t="n"/>
      <c r="E13" s="23" t="inlineStr">
        <is>
          <t>GRAND TOTAL (14-Sep to 18-Sep)</t>
        </is>
      </c>
      <c r="F13" s="24">
        <f>F11</f>
        <v>40</v>
      </c>
      <c r="G13" s="22" t="n"/>
    </row>
  </sheetData>
  <mergeCells count="3">
    <mergeCell ref="A3:G3"/>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12" customWidth="1" min="1" max="1"/>
    <col width="7" customWidth="1" min="2" max="2"/>
    <col width="15" customWidth="1" min="3" max="3"/>
    <col width="11" customWidth="1" min="4" max="4"/>
    <col width="9" customWidth="1" min="9" max="9"/>
    <col width="11" customWidth="1" min="10" max="10"/>
  </cols>
  <sheetData>
    <row r="1" ht="25.5" customHeight="1">
      <c r="A1" s="1" t="inlineStr">
        <is>
          <t>Reconciliation:  Deloitte T&amp;E  vs  ServiceNow Time Card</t>
        </is>
      </c>
    </row>
    <row r="2" ht="27.75" customHeight="1">
      <c r="A2" s="2" t="inlineStr">
        <is>
          <t>Deloitte is the system of record. Every daily and weekly total below is computed live and must read MATCH. SN Project + SN Training = Deloitte Worked. SN Sick = Deloitte Absence. The Deloitte columns hold the planned 8.00h per day for the week ending 19-Sep; replace them with the approved T&amp;E figures when available.</t>
        </is>
      </c>
    </row>
    <row r="4" ht="30" customHeight="1">
      <c r="A4" s="25" t="inlineStr">
        <is>
          <t>Date</t>
        </is>
      </c>
      <c r="B4" s="25" t="inlineStr">
        <is>
          <t>Day</t>
        </is>
      </c>
      <c r="C4" s="25" t="inlineStr">
        <is>
          <t>Deloitte Worked
(India Kolkata)</t>
        </is>
      </c>
      <c r="D4" s="25" t="inlineStr">
        <is>
          <t>Deloitte
Absence</t>
        </is>
      </c>
      <c r="E4" s="25" t="inlineStr">
        <is>
          <t>Deloitte
Total</t>
        </is>
      </c>
      <c r="F4" s="25" t="inlineStr">
        <is>
          <t>SN Project</t>
        </is>
      </c>
      <c r="G4" s="25" t="inlineStr">
        <is>
          <t>SN Training</t>
        </is>
      </c>
      <c r="H4" s="25" t="inlineStr">
        <is>
          <t>SN Sick</t>
        </is>
      </c>
      <c r="I4" s="25" t="inlineStr">
        <is>
          <t>SN
Total</t>
        </is>
      </c>
      <c r="J4" s="25" t="inlineStr">
        <is>
          <t>Match</t>
        </is>
      </c>
    </row>
    <row r="5" ht="18" customHeight="1">
      <c r="A5" s="26" t="inlineStr">
        <is>
          <t>Week ending 19-Sep-2026</t>
        </is>
      </c>
    </row>
    <row r="6" ht="15" customHeight="1">
      <c r="A6" s="14" t="inlineStr">
        <is>
          <t>14-Sep-2026</t>
        </is>
      </c>
      <c r="B6" s="14" t="inlineStr">
        <is>
          <t>Mon</t>
        </is>
      </c>
      <c r="C6" s="15" t="n">
        <v>8</v>
      </c>
      <c r="D6" s="15" t="n">
        <v>0</v>
      </c>
      <c r="E6" s="15">
        <f>C6+D6</f>
        <v>8</v>
      </c>
      <c r="F6" s="15" t="n">
        <v>8</v>
      </c>
      <c r="G6" s="15" t="n">
        <v>0</v>
      </c>
      <c r="H6" s="15" t="n">
        <v>0</v>
      </c>
      <c r="I6" s="15">
        <f>F6+G6+H6</f>
        <v>8</v>
      </c>
      <c r="J6" s="14" t="str">
        <f>IF(AND(E6=I6,C6=F6+G6,D6=H6),"MATCH","CHECK")</f>
        <v>MATCH</v>
      </c>
    </row>
    <row r="7" ht="15" customHeight="1">
      <c r="A7" s="17" t="inlineStr">
        <is>
          <t>15-Sep-2026</t>
        </is>
      </c>
      <c r="B7" s="17" t="inlineStr">
        <is>
          <t>Tue</t>
        </is>
      </c>
      <c r="C7" s="18" t="n">
        <v>8</v>
      </c>
      <c r="D7" s="18" t="n">
        <v>0</v>
      </c>
      <c r="E7" s="18">
        <f>C7+D7</f>
        <v>8</v>
      </c>
      <c r="F7" s="18" t="n">
        <v>8</v>
      </c>
      <c r="G7" s="18" t="n">
        <v>0</v>
      </c>
      <c r="H7" s="18" t="n">
        <v>0</v>
      </c>
      <c r="I7" s="18">
        <f>F7+G7+H7</f>
        <v>8</v>
      </c>
      <c r="J7" s="17" t="str">
        <f>IF(AND(E7=I7,C7=F7+G7,D7=H7),"MATCH","CHECK")</f>
        <v>MATCH</v>
      </c>
    </row>
    <row r="8" ht="15" customHeight="1">
      <c r="A8" s="14" t="inlineStr">
        <is>
          <t>16-Sep-2026</t>
        </is>
      </c>
      <c r="B8" s="14" t="inlineStr">
        <is>
          <t>Wed</t>
        </is>
      </c>
      <c r="C8" s="15" t="n">
        <v>8</v>
      </c>
      <c r="D8" s="15" t="n">
        <v>0</v>
      </c>
      <c r="E8" s="15">
        <f>C8+D8</f>
        <v>8</v>
      </c>
      <c r="F8" s="15" t="n">
        <v>8</v>
      </c>
      <c r="G8" s="15" t="n">
        <v>0</v>
      </c>
      <c r="H8" s="15" t="n">
        <v>0</v>
      </c>
      <c r="I8" s="15">
        <f>F8+G8+H8</f>
        <v>8</v>
      </c>
      <c r="J8" s="14" t="str">
        <f>IF(AND(E8=I8,C8=F8+G8,D8=H8),"MATCH","CHECK")</f>
        <v>MATCH</v>
      </c>
    </row>
    <row r="9" ht="15" customHeight="1">
      <c r="A9" s="17" t="inlineStr">
        <is>
          <t>17-Sep-2026</t>
        </is>
      </c>
      <c r="B9" s="17" t="inlineStr">
        <is>
          <t>Thu</t>
        </is>
      </c>
      <c r="C9" s="18" t="n">
        <v>8</v>
      </c>
      <c r="D9" s="18" t="n">
        <v>0</v>
      </c>
      <c r="E9" s="18">
        <f>C9+D9</f>
        <v>8</v>
      </c>
      <c r="F9" s="18" t="n">
        <v>8</v>
      </c>
      <c r="G9" s="18" t="n">
        <v>0</v>
      </c>
      <c r="H9" s="18" t="n">
        <v>0</v>
      </c>
      <c r="I9" s="18">
        <f>F9+G9+H9</f>
        <v>8</v>
      </c>
      <c r="J9" s="17" t="str">
        <f>IF(AND(E9=I9,C9=F9+G9,D9=H9),"MATCH","CHECK")</f>
        <v>MATCH</v>
      </c>
    </row>
    <row r="10" ht="15" customHeight="1">
      <c r="A10" s="14" t="inlineStr">
        <is>
          <t>18-Sep-2026</t>
        </is>
      </c>
      <c r="B10" s="14" t="inlineStr">
        <is>
          <t>Fri</t>
        </is>
      </c>
      <c r="C10" s="15" t="n">
        <v>8</v>
      </c>
      <c r="D10" s="15" t="n">
        <v>0</v>
      </c>
      <c r="E10" s="15">
        <f>C10+D10</f>
        <v>8</v>
      </c>
      <c r="F10" s="15" t="n">
        <v>8</v>
      </c>
      <c r="G10" s="15" t="n">
        <v>0</v>
      </c>
      <c r="H10" s="15" t="n">
        <v>0</v>
      </c>
      <c r="I10" s="15">
        <f>F10+G10+H10</f>
        <v>8</v>
      </c>
      <c r="J10" s="14" t="str">
        <f>IF(AND(E10=I10,C10=F10+G10,D10=H10),"MATCH","CHECK")</f>
        <v>MATCH</v>
      </c>
    </row>
    <row r="11" ht="18" customHeight="1">
      <c r="A11" s="20" t="inlineStr">
        <is>
          <t>Subtotal</t>
        </is>
      </c>
      <c r="B11" s="19" t="n"/>
      <c r="C11" s="21">
        <f>SUM(C6:C10)</f>
        <v>40</v>
      </c>
      <c r="D11" s="21">
        <f>SUM(D6:D10)</f>
        <v>0</v>
      </c>
      <c r="E11" s="21">
        <f>SUM(E6:E10)</f>
        <v>40</v>
      </c>
      <c r="F11" s="21">
        <f>SUM(F6:F10)</f>
        <v>40</v>
      </c>
      <c r="G11" s="21">
        <f>SUM(G6:G10)</f>
        <v>0</v>
      </c>
      <c r="H11" s="21">
        <f>SUM(H6:H10)</f>
        <v>0</v>
      </c>
      <c r="I11" s="21">
        <f>SUM(I6:I10)</f>
        <v>40</v>
      </c>
      <c r="J11" s="27" t="str">
        <f>IF(AND(E11=I11,C11=F11+G11,D11=H11),"MATCH","CHECK")</f>
        <v>MATCH</v>
      </c>
    </row>
    <row r="13" ht="21.75" customHeight="1">
      <c r="A13" s="23" t="inlineStr">
        <is>
          <t>GRAND TOTAL</t>
        </is>
      </c>
      <c r="B13" s="22" t="n"/>
      <c r="C13" s="24">
        <f>C11</f>
        <v>40</v>
      </c>
      <c r="D13" s="24">
        <f>D11</f>
        <v>0</v>
      </c>
      <c r="E13" s="24">
        <f>E11</f>
        <v>40</v>
      </c>
      <c r="F13" s="24">
        <f>F11</f>
        <v>40</v>
      </c>
      <c r="G13" s="24">
        <f>G11</f>
        <v>0</v>
      </c>
      <c r="H13" s="24">
        <f>H11</f>
        <v>0</v>
      </c>
      <c r="I13" s="24">
        <f>I11</f>
        <v>40</v>
      </c>
      <c r="J13" s="28" t="str">
        <f>IF(AND(E13=I13,C13=F13+G13,D13=H13),"MATCH","CHECK")</f>
        <v>MATCH</v>
      </c>
    </row>
    <row r="15" ht="27" customHeight="1">
      <c r="A15" s="11" t="inlineStr">
        <is>
          <t>Source of record: Deloitte T&amp;E timesheet, week ending 19-Sep-2026 (Deloitte columns entered as the planned 8.00h per day; confirm against the approved timesheet).</t>
        </is>
      </c>
    </row>
    <row r="16" ht="13.5" customHeight="1">
      <c r="A16" s="11" t="inlineStr">
        <is>
          <t>Week ending 19-Sep: Mon to Fri 8.00h on the India Kolkata worked line; weekly 40.00, Worked 40.00, Absence 0.00.</t>
        </is>
      </c>
    </row>
    <row r="17" ht="27" customHeight="1">
      <c r="A17" s="11" t="inlineStr">
        <is>
          <t>Mapping rule: SN Project + SN Training reconcile to Deloitte Worked; SN Sick reconciles to Deloitte Absence; daily and weekly totals are identical.</t>
        </is>
      </c>
    </row>
    <row r="18" ht="27" customHeight="1">
      <c r="A18" s="11" t="inlineStr">
        <is>
          <t>Activity notes are drawn from the engagement work on SNOWUSEMTP-895 (Qualys CI lookup rules and the load balancer refinements), SNOWUSEMTP-1552 (deferral kept on scanner reopen), SNOWUSEMTP-1825 (ignored CI classes) and SNOWUSEMTP-1804 (VAMP outbound payload).</t>
        </is>
      </c>
    </row>
  </sheetData>
  <mergeCells count="7">
    <mergeCell ref="A1:J1"/>
    <mergeCell ref="A5:J5"/>
    <mergeCell ref="A17:J17"/>
    <mergeCell ref="A2:J2"/>
    <mergeCell ref="A18:J18"/>
    <mergeCell ref="A15:J15"/>
    <mergeCell ref="A16:J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Mihir Kumar Singh</dc:creator>
  <dcterms:created xmlns:dcterms="http://purl.org/dc/terms/" xmlns:xsi="http://www.w3.org/2001/XMLSchema-instance" xsi:type="dcterms:W3CDTF">2026-09-18T12:04:52Z</dcterms:created>
  <dcterms:modified xmlns:dcterms="http://purl.org/dc/terms/" xmlns:xsi="http://www.w3.org/2001/XMLSchema-instance" xsi:type="dcterms:W3CDTF">2026-09-18T12:04:52Z</dcterms:modified>
  <cp:lastModifiedBy>Mihir Kumar Singh</cp:lastModifiedBy>
</cp:coreProperties>
</file>