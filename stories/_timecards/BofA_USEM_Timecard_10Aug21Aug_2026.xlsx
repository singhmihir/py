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ily Notes (Copy-Paste)" sheetId="1" state="visible" r:id="rId3"/>
    <sheet name="ServiceNow Daily Timecard" sheetId="2" state="visible" r:id="rId4"/>
    <sheet name="Deloitte Reconciliatio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<sst xmlns="http://schemas.openxmlformats.org/spreadsheetml/2006/main" count="163" uniqueCount="76">
  <si>
    <t xml:space="preserve">ServiceNow Time Card  |  Daily Notes, one day per cell</t>
  </si>
  <si>
    <t xml:space="preserve">Period: 10-Aug-2026 to 21-Aug-2026   |   Mihir Kumar Singh, L45 Security Engineer III, Kolkata   |   Bank of America USEM / VMT, AIT 75624   |   JIRA: SNOWUSEMTP.  Format per ServiceNow time-card guidance: [Line] - [Outcome]. Copy a single cell into that day's time-card comment. Daily hours tie to the Deloitte system of record.</t>
  </si>
  <si>
    <t xml:space="preserve">Date</t>
  </si>
  <si>
    <t xml:space="preserve">Day</t>
  </si>
  <si>
    <t xml:space="preserve">Hours</t>
  </si>
  <si>
    <t xml:space="preserve">Time Card Line</t>
  </si>
  <si>
    <t xml:space="preserve">Time Card Note  (copy one cell per day into ServiceNow)</t>
  </si>
  <si>
    <t xml:space="preserve">10-Aug-2026</t>
  </si>
  <si>
    <t xml:space="preserve">Mon</t>
  </si>
  <si>
    <t xml:space="preserve">Project (8h)</t>
  </si>
  <si>
    <t xml:space="preserve">Analysis - SNOWUSEMTP-895: baseline review of the Qualys CI lookup rule chain, walking the seven platform rules (Qualys Host ID, DNS, NetBIOS, FQDN, IP and Network, IP Only, Cloud Resource Id) against the custom USEM rules to confirm order and active flags, and built a fixture set of CIs across the hardware classes to reproduce the unmatched host cases.</t>
  </si>
  <si>
    <t xml:space="preserve">11-Aug-2026</t>
  </si>
  <si>
    <t xml:space="preserve">Tue</t>
  </si>
  <si>
    <t xml:space="preserve">Configurations - SNOWUSEMTP-895: set the ignored CI class list for CI lookup (unmatched CI, Qualys CI, unclassed hardware, incomplete IP, DNS name) so a host is never bound to a placeholder class, extended the CI fixture set and re-ran the full rule chain against the Qualys payload samples.</t>
  </si>
  <si>
    <t xml:space="preserve">12-Aug-2026</t>
  </si>
  <si>
    <t xml:space="preserve">Wed</t>
  </si>
  <si>
    <t xml:space="preserve">Documentation - SNOWUSEMTP-895: produced the rule-by-rule explanation workbook for the Qualys CI lookup rules (payload fields read, search order, match outcome and decline reason per rule) for the team walkthrough. Also delivered the USEMChoiceTableQualifier script include (reference qualifier).</t>
  </si>
  <si>
    <t xml:space="preserve">13-Aug-2026</t>
  </si>
  <si>
    <t xml:space="preserve">Thu</t>
  </si>
  <si>
    <t xml:space="preserve">Analysis - SNOWUSEMTP-895: walkthrough of the Qualys CI lookup rule explanation workbook, captured the review points on the rule scripts (record limits on the match queries, the private query match helper) and scoped the readable rewrite of the sixteen custom rules.</t>
  </si>
  <si>
    <t xml:space="preserve">14-Aug-2026</t>
  </si>
  <si>
    <t xml:space="preserve">Fri</t>
  </si>
  <si>
    <t xml:space="preserve">Sick (9h)</t>
  </si>
  <si>
    <t xml:space="preserve">Sick leave - no project activity (Deloitte T&amp;E: SLV Sick Leave 9.00h).</t>
  </si>
  <si>
    <t xml:space="preserve">17-Aug-2026</t>
  </si>
  <si>
    <t xml:space="preserve">Project (3h)</t>
  </si>
  <si>
    <t xml:space="preserve">Analysis - SNOWUSEMTP-581: offline preparation for the AIT manual ingestion build; defined the import table columns from the pentest findings sheet (application, AIT, risk rating, CWE category, affected functionality, steps to reproduce, recommendation) and the AIT to business application lookup approach. VDI unavailable, 3.00h.</t>
  </si>
  <si>
    <t xml:space="preserve">18-Aug-2026</t>
  </si>
  <si>
    <t xml:space="preserve">Configurations - SNOWUSEMTP-581: built the manual ingestion import set table, Excel data source and transform map for pentest findings, with the AIT to business application, AIT to application CI and hostname lookup rules and the placeholder CI property; loaded the sample workbooks. VDI unavailable, 3.00h.</t>
  </si>
  <si>
    <t xml:space="preserve">19-Aug-2026</t>
  </si>
  <si>
    <t xml:space="preserve">Analysis - SNOWUSEMTP-581: end-to-end run of the manual ingestion with a 30-row pentest workbook, checking application vulnerable item creation, AIT resolution and hostname matches; captured the build into the Global and Vulnerability Response update sets. VDI unavailable, 3.00h.</t>
  </si>
  <si>
    <t xml:space="preserve">20-Aug-2026</t>
  </si>
  <si>
    <t xml:space="preserve">Configurations - SNOWUSEMTP-1003: built the peer review trigger for Configuration Compliance test results (Peer reviewed flag, business rule and USEMPeerReviewRuleRunner script include) and retested with result group fixtures; update set completed. VDI unavailable, 3.00h.</t>
  </si>
  <si>
    <t xml:space="preserve">21-Aug-2026</t>
  </si>
  <si>
    <t xml:space="preserve">Configurations - Request Exception: implemented reason-based deferral limits on the exception request in the Exception Management scope and exercised two exception requests through the approval chain; update set completed. VDI unavailable, 3.00h.</t>
  </si>
  <si>
    <t xml:space="preserve">Week ending 15-Aug carries a single Project line Mon to Thu and a Sick line on Fri 14-Aug (9.00h). Week ending 22-Aug is capped at 3.00h of project work per day because VDI access was unavailable; see the Reconciliation sheet for the resulting variance against the Deloitte T&amp;E.</t>
  </si>
  <si>
    <t xml:space="preserve">ServiceNow Time Card  |  Daily Activity Log</t>
  </si>
  <si>
    <t xml:space="preserve">Resource: Mihir Kumar Singh   |   Role: Security Engineer III (L45), Kolkata   |   Engagement: Bank of America USEM / VMT   |   AIT: 75624   |   Team: SNow Boarders (34830)</t>
  </si>
  <si>
    <t xml:space="preserve">Period: 10-Aug-2026 to 21-Aug-2026   |   JIRA Project: SNOWUSEMTP   |   Notes format per ServiceNow time-card guidance: [Line] - [Outcome]</t>
  </si>
  <si>
    <t xml:space="preserve">Week Ending</t>
  </si>
  <si>
    <t xml:space="preserve">Activity Type</t>
  </si>
  <si>
    <t xml:space="preserve">Story / Reference</t>
  </si>
  <si>
    <t xml:space="preserve">Timecard Notes</t>
  </si>
  <si>
    <t xml:space="preserve">15-Aug-2026</t>
  </si>
  <si>
    <t xml:space="preserve">Analysis</t>
  </si>
  <si>
    <t xml:space="preserve">SNOWUSEMTP-895</t>
  </si>
  <si>
    <t xml:space="preserve">Configurations</t>
  </si>
  <si>
    <t xml:space="preserve">Documentation</t>
  </si>
  <si>
    <t xml:space="preserve">Sick Leave</t>
  </si>
  <si>
    <t xml:space="preserve">Absence</t>
  </si>
  <si>
    <t xml:space="preserve">Week ending 15-Aug-2026  Subtotal</t>
  </si>
  <si>
    <t xml:space="preserve">22-Aug-2026</t>
  </si>
  <si>
    <t xml:space="preserve">SNOWUSEMTP-581</t>
  </si>
  <si>
    <t xml:space="preserve">SNOWUSEMTP-1003</t>
  </si>
  <si>
    <t xml:space="preserve">Request Exception deferral limits</t>
  </si>
  <si>
    <t xml:space="preserve">Week ending 22-Aug-2026  Subtotal</t>
  </si>
  <si>
    <t xml:space="preserve">GRAND TOTAL (10-Aug to 21-Aug)</t>
  </si>
  <si>
    <t xml:space="preserve">Reconciliation:  Deloitte T&amp;E  vs  ServiceNow Time Card</t>
  </si>
  <si>
    <t xml:space="preserve">Deloitte is the system of record. Every daily and weekly total below is computed live. SN Project + SN Training = Deloitte Worked. SN Sick = Deloitte Absence. Week ending 22-Aug is capped at 3.00h per day on the ServiceNow side (VDI unavailable), so those five days and that subtotal read CHECK by design.</t>
  </si>
  <si>
    <t xml:space="preserve">Deloitte Worked
(India Kolkata)</t>
  </si>
  <si>
    <t xml:space="preserve">Deloitte
Absence</t>
  </si>
  <si>
    <t xml:space="preserve">Deloitte
Total</t>
  </si>
  <si>
    <t xml:space="preserve">SN Project</t>
  </si>
  <si>
    <t xml:space="preserve">SN Training</t>
  </si>
  <si>
    <t xml:space="preserve">SN Sick</t>
  </si>
  <si>
    <t xml:space="preserve">SN
Total</t>
  </si>
  <si>
    <t xml:space="preserve">Match</t>
  </si>
  <si>
    <t xml:space="preserve">Week ending 15-Aug-2026</t>
  </si>
  <si>
    <t xml:space="preserve">Subtotal</t>
  </si>
  <si>
    <t xml:space="preserve">Week ending 22-Aug-2026</t>
  </si>
  <si>
    <t xml:space="preserve">GRAND TOTAL</t>
  </si>
  <si>
    <t xml:space="preserve">Source of record: Deloitte T&amp;E timesheets, weeks ending 15-Aug-2026 and 22-Aug-2026 (both showing Timesheet is approved).</t>
  </si>
  <si>
    <t xml:space="preserve">Week ending 15-Aug: Mon to Thu 8.00h on the India Kolkata worked line, Fri 14-Aug 9.00h SLV Sick Leave, Sat 15-Aug 0.00 (firm holiday on a non-working day); weekly 41.00, Worked 32.00, Absence 9.00.</t>
  </si>
  <si>
    <t xml:space="preserve">Week ending 22-Aug: Deloitte shows Mon to Fri 8.00h worked (40.00, Absence 0.00). VDI access was unavailable all week, so the ServiceNow card carries a maximum of 3.00h of project work per day; the 5.00h daily gap against Deloitte is expected and is what the CHECK flags show.</t>
  </si>
  <si>
    <t xml:space="preserve">Mapping rule: SN Project + SN Training reconcile to Deloitte Worked; SN Sick reconciles to Deloitte Absence; daily and weekly totals are identical except for the week ending 22-Aug noted above.</t>
  </si>
  <si>
    <t xml:space="preserve">Activity notes are drawn from the engagement work on SNOWUSEMTP-895 (Qualys CI lookup rules), SNOWUSEMTP-581 (AIT manual ingestion), SNOWUSEMTP-1003 (peer review on test records) and the Request Exception deferral limits.</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</si>
</sst>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9"/>
      <color rgb="FF000000"/>
      <name val="Arial"/>
      <family val="0"/>
      <charset val="1"/>
    </font>
    <font>
      <b val="true"/>
      <sz val="10"/>
      <color rgb="FFFFFFFF"/>
      <name val="Arial"/>
      <family val="0"/>
      <charset val="1"/>
    </font>
    <font>
      <sz val="10"/>
      <color rgb="FF000000"/>
      <name val="Arial"/>
      <family val="0"/>
      <charset val="1"/>
    </font>
    <font>
      <sz val="8.5"/>
      <color rgb="FF44546A"/>
      <name val="Arial"/>
      <family val="0"/>
      <charset val="1"/>
    </font>
    <font>
      <sz val="9.5"/>
      <color rgb="FF000000"/>
      <name val="Arial"/>
      <family val="0"/>
      <charset val="1"/>
    </font>
    <font>
      <b val="true"/>
      <sz val="10"/>
      <color rgb="FF152744"/>
      <name val="Arial"/>
      <family val="0"/>
      <charset val="1"/>
    </font>
    <font>
      <b val="true"/>
      <sz val="11"/>
      <color rgb="FFFFFFFF"/>
      <name val="Arial"/>
      <family val="0"/>
      <charset val="1"/>
    </font>
    <font>
      <b val="true"/>
      <sz val="9.5"/>
      <color rgb="FFFFFFFF"/>
      <name val="Arial"/>
      <family val="0"/>
      <charset val="1"/>
    </font>
  </fonts>
  <fills count="6">
    <fill>
      <patternFill patternType="none"/>
    </fill>
    <fill>
      <patternFill patternType="gray125"/>
    </fill>
    <fill>
      <patternFill patternType="solid">
        <fgColor rgb="FF1F3864"/>
        <bgColor rgb="FF152744"/>
      </patternFill>
    </fill>
    <fill>
      <patternFill patternType="solid">
        <fgColor rgb="FFEAF0F8"/>
        <bgColor rgb="FFD6E1F0"/>
      </patternFill>
    </fill>
    <fill>
      <patternFill patternType="solid">
        <fgColor rgb="FFD6E1F0"/>
        <bgColor rgb="FFEAF0F8"/>
      </patternFill>
    </fill>
    <fill>
      <patternFill patternType="solid">
        <fgColor rgb="FF152744"/>
        <bgColor rgb="FF1F3864"/>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5" fontId="9" fillId="3"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right" vertical="center" textRotation="0" wrapText="false" indent="0" shrinkToFit="false"/>
      <protection locked="true" hidden="false"/>
    </xf>
    <xf numFmtId="165" fontId="10" fillId="4"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left" vertical="center" textRotation="0" wrapText="false" indent="0" shrinkToFit="false"/>
      <protection locked="true" hidden="false"/>
    </xf>
    <xf numFmtId="164" fontId="11" fillId="2" borderId="1" xfId="0" applyFont="true" applyBorder="true" applyAlignment="true" applyProtection="false">
      <alignment horizontal="right" vertical="center" textRotation="0" wrapText="false" indent="0" shrinkToFit="false"/>
      <protection locked="true" hidden="false"/>
    </xf>
    <xf numFmtId="165" fontId="11" fillId="2" borderId="1"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6" fillId="5" borderId="0"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AF0F8"/>
      <rgbColor rgb="FF660066"/>
      <rgbColor rgb="FFFF8080"/>
      <rgbColor rgb="FF0066CC"/>
      <rgbColor rgb="FFD6E1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1F3864"/>
      <rgbColor rgb="FF339966"/>
      <rgbColor rgb="FF003300"/>
      <rgbColor rgb="FF333300"/>
      <rgbColor rgb="FF993300"/>
      <rgbColor rgb="FF993366"/>
      <rgbColor rgb="FF333399"/>
      <rgbColor rgb="FF1527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7"/>
    <col collapsed="false" customWidth="true" hidden="false" outlineLevel="0" max="3" min="3" style="0" width="9"/>
    <col collapsed="false" customWidth="true" hidden="false" outlineLevel="0" max="4" min="4" style="0" width="22"/>
    <col collapsed="false" customWidth="true" hidden="false" outlineLevel="0" max="5" min="5" style="0" width="104"/>
  </cols>
  <sheetData>
    <row r="1" customFormat="false" ht="25.5" hidden="false" customHeight="true" outlineLevel="0" collapsed="false">
      <c r="A1" s="1" t="s">
        <v>0</v>
      </c>
      <c r="B1" s="1"/>
      <c r="C1" s="1"/>
      <c r="D1" s="1"/>
      <c r="E1" s="1"/>
    </row>
    <row r="2" customFormat="false" ht="31.5" hidden="false" customHeight="true" outlineLevel="0" collapsed="false">
      <c r="A2" s="2" t="s">
        <v>1</v>
      </c>
      <c r="B2" s="2"/>
      <c r="C2" s="2"/>
      <c r="D2" s="2"/>
      <c r="E2" s="2"/>
    </row>
    <row r="4" customFormat="false" ht="19.5" hidden="false" customHeight="true" outlineLevel="0" collapsed="false">
      <c r="A4" s="3" t="s">
        <v>2</v>
      </c>
      <c r="B4" s="3" t="s">
        <v>3</v>
      </c>
      <c r="C4" s="3" t="s">
        <v>4</v>
      </c>
      <c r="D4" s="3" t="s">
        <v>5</v>
      </c>
      <c r="E4" s="4" t="s">
        <v>6</v>
      </c>
    </row>
    <row r="5" customFormat="false" ht="57.75" hidden="false" customHeight="true" outlineLevel="0" collapsed="false">
      <c r="A5" s="5" t="s">
        <v>7</v>
      </c>
      <c r="B5" s="5" t="s">
        <v>8</v>
      </c>
      <c r="C5" s="6" t="n">
        <v>8</v>
      </c>
      <c r="D5" s="7" t="s">
        <v>9</v>
      </c>
      <c r="E5" s="7" t="s">
        <v>10</v>
      </c>
    </row>
    <row r="6" customFormat="false" ht="57.75" hidden="false" customHeight="true" outlineLevel="0" collapsed="false">
      <c r="A6" s="8" t="s">
        <v>11</v>
      </c>
      <c r="B6" s="8" t="s">
        <v>12</v>
      </c>
      <c r="C6" s="9" t="n">
        <v>8</v>
      </c>
      <c r="D6" s="10" t="s">
        <v>9</v>
      </c>
      <c r="E6" s="10" t="s">
        <v>13</v>
      </c>
    </row>
    <row r="7" customFormat="false" ht="57.75" hidden="false" customHeight="true" outlineLevel="0" collapsed="false">
      <c r="A7" s="5" t="s">
        <v>14</v>
      </c>
      <c r="B7" s="5" t="s">
        <v>15</v>
      </c>
      <c r="C7" s="6" t="n">
        <v>8</v>
      </c>
      <c r="D7" s="7" t="s">
        <v>9</v>
      </c>
      <c r="E7" s="7" t="s">
        <v>16</v>
      </c>
    </row>
    <row r="8" customFormat="false" ht="57.75" hidden="false" customHeight="true" outlineLevel="0" collapsed="false">
      <c r="A8" s="8" t="s">
        <v>17</v>
      </c>
      <c r="B8" s="8" t="s">
        <v>18</v>
      </c>
      <c r="C8" s="9" t="n">
        <v>8</v>
      </c>
      <c r="D8" s="10" t="s">
        <v>9</v>
      </c>
      <c r="E8" s="10" t="s">
        <v>19</v>
      </c>
    </row>
    <row r="9" customFormat="false" ht="57.75" hidden="false" customHeight="true" outlineLevel="0" collapsed="false">
      <c r="A9" s="5" t="s">
        <v>20</v>
      </c>
      <c r="B9" s="5" t="s">
        <v>21</v>
      </c>
      <c r="C9" s="6" t="n">
        <v>9</v>
      </c>
      <c r="D9" s="7" t="s">
        <v>22</v>
      </c>
      <c r="E9" s="7" t="s">
        <v>23</v>
      </c>
    </row>
    <row r="10" customFormat="false" ht="57.75" hidden="false" customHeight="true" outlineLevel="0" collapsed="false">
      <c r="A10" s="5" t="s">
        <v>24</v>
      </c>
      <c r="B10" s="5" t="s">
        <v>8</v>
      </c>
      <c r="C10" s="6" t="n">
        <v>3</v>
      </c>
      <c r="D10" s="7" t="s">
        <v>25</v>
      </c>
      <c r="E10" s="7" t="s">
        <v>26</v>
      </c>
    </row>
    <row r="11" customFormat="false" ht="57.75" hidden="false" customHeight="true" outlineLevel="0" collapsed="false">
      <c r="A11" s="8" t="s">
        <v>27</v>
      </c>
      <c r="B11" s="8" t="s">
        <v>12</v>
      </c>
      <c r="C11" s="9" t="n">
        <v>3</v>
      </c>
      <c r="D11" s="10" t="s">
        <v>25</v>
      </c>
      <c r="E11" s="10" t="s">
        <v>28</v>
      </c>
    </row>
    <row r="12" customFormat="false" ht="57.75" hidden="false" customHeight="true" outlineLevel="0" collapsed="false">
      <c r="A12" s="5" t="s">
        <v>29</v>
      </c>
      <c r="B12" s="5" t="s">
        <v>15</v>
      </c>
      <c r="C12" s="6" t="n">
        <v>3</v>
      </c>
      <c r="D12" s="7" t="s">
        <v>25</v>
      </c>
      <c r="E12" s="7" t="s">
        <v>30</v>
      </c>
    </row>
    <row r="13" customFormat="false" ht="57.75" hidden="false" customHeight="true" outlineLevel="0" collapsed="false">
      <c r="A13" s="8" t="s">
        <v>31</v>
      </c>
      <c r="B13" s="8" t="s">
        <v>18</v>
      </c>
      <c r="C13" s="9" t="n">
        <v>3</v>
      </c>
      <c r="D13" s="10" t="s">
        <v>25</v>
      </c>
      <c r="E13" s="10" t="s">
        <v>32</v>
      </c>
    </row>
    <row r="14" customFormat="false" ht="57.75" hidden="false" customHeight="true" outlineLevel="0" collapsed="false">
      <c r="A14" s="5" t="s">
        <v>33</v>
      </c>
      <c r="B14" s="5" t="s">
        <v>21</v>
      </c>
      <c r="C14" s="6" t="n">
        <v>3</v>
      </c>
      <c r="D14" s="7" t="s">
        <v>25</v>
      </c>
      <c r="E14" s="7" t="s">
        <v>34</v>
      </c>
    </row>
    <row r="16" customFormat="false" ht="25.5" hidden="false" customHeight="true" outlineLevel="0" collapsed="false">
      <c r="A16" s="11" t="s">
        <v>35</v>
      </c>
      <c r="B16" s="11"/>
      <c r="C16" s="11"/>
      <c r="D16" s="11"/>
      <c r="E16" s="11"/>
    </row>
  </sheetData>
  <mergeCells count="3">
    <mergeCell ref="A1:E1"/>
    <mergeCell ref="A2:E2"/>
    <mergeCell ref="A16: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7"/>
    <col collapsed="false" customWidth="true" hidden="false" outlineLevel="0" max="4" min="4" style="0" width="17"/>
    <col collapsed="false" customWidth="true" hidden="false" outlineLevel="0" max="5" min="5" style="0" width="26"/>
    <col collapsed="false" customWidth="true" hidden="false" outlineLevel="0" max="6" min="6" style="0" width="9"/>
    <col collapsed="false" customWidth="true" hidden="false" outlineLevel="0" max="7" min="7" style="0" width="92"/>
  </cols>
  <sheetData>
    <row r="1" customFormat="false" ht="25.5" hidden="false" customHeight="true" outlineLevel="0" collapsed="false">
      <c r="A1" s="1" t="s">
        <v>36</v>
      </c>
      <c r="B1" s="1"/>
      <c r="C1" s="1"/>
      <c r="D1" s="1"/>
      <c r="E1" s="1"/>
      <c r="F1" s="1"/>
      <c r="G1" s="1"/>
    </row>
    <row r="2" customFormat="false" ht="15" hidden="false" customHeight="true" outlineLevel="0" collapsed="false">
      <c r="A2" s="12" t="s">
        <v>37</v>
      </c>
      <c r="B2" s="12"/>
      <c r="C2" s="12"/>
      <c r="D2" s="12"/>
      <c r="E2" s="12"/>
      <c r="F2" s="12"/>
      <c r="G2" s="12"/>
    </row>
    <row r="3" customFormat="false" ht="15" hidden="false" customHeight="true" outlineLevel="0" collapsed="false">
      <c r="A3" s="12" t="s">
        <v>38</v>
      </c>
      <c r="B3" s="12"/>
      <c r="C3" s="12"/>
      <c r="D3" s="12"/>
      <c r="E3" s="12"/>
      <c r="F3" s="12"/>
      <c r="G3" s="12"/>
    </row>
    <row r="5" customFormat="false" ht="19.5" hidden="false" customHeight="true" outlineLevel="0" collapsed="false">
      <c r="A5" s="3" t="s">
        <v>39</v>
      </c>
      <c r="B5" s="3" t="s">
        <v>2</v>
      </c>
      <c r="C5" s="3" t="s">
        <v>3</v>
      </c>
      <c r="D5" s="3" t="s">
        <v>40</v>
      </c>
      <c r="E5" s="3" t="s">
        <v>41</v>
      </c>
      <c r="F5" s="3" t="s">
        <v>4</v>
      </c>
      <c r="G5" s="3" t="s">
        <v>42</v>
      </c>
    </row>
    <row r="6" customFormat="false" ht="54" hidden="false" customHeight="true" outlineLevel="0" collapsed="false">
      <c r="A6" s="13" t="s">
        <v>43</v>
      </c>
      <c r="B6" s="14" t="s">
        <v>7</v>
      </c>
      <c r="C6" s="14" t="s">
        <v>8</v>
      </c>
      <c r="D6" s="13" t="s">
        <v>44</v>
      </c>
      <c r="E6" s="13" t="s">
        <v>45</v>
      </c>
      <c r="F6" s="15" t="n">
        <v>8</v>
      </c>
      <c r="G6" s="13" t="s">
        <v>10</v>
      </c>
    </row>
    <row r="7" customFormat="false" ht="54" hidden="false" customHeight="true" outlineLevel="0" collapsed="false">
      <c r="A7" s="16" t="s">
        <v>43</v>
      </c>
      <c r="B7" s="17" t="s">
        <v>11</v>
      </c>
      <c r="C7" s="17" t="s">
        <v>12</v>
      </c>
      <c r="D7" s="16" t="s">
        <v>46</v>
      </c>
      <c r="E7" s="16" t="s">
        <v>45</v>
      </c>
      <c r="F7" s="18" t="n">
        <v>8</v>
      </c>
      <c r="G7" s="16" t="s">
        <v>13</v>
      </c>
    </row>
    <row r="8" customFormat="false" ht="54" hidden="false" customHeight="true" outlineLevel="0" collapsed="false">
      <c r="A8" s="13" t="s">
        <v>43</v>
      </c>
      <c r="B8" s="14" t="s">
        <v>14</v>
      </c>
      <c r="C8" s="14" t="s">
        <v>15</v>
      </c>
      <c r="D8" s="13" t="s">
        <v>47</v>
      </c>
      <c r="E8" s="13" t="s">
        <v>45</v>
      </c>
      <c r="F8" s="15" t="n">
        <v>8</v>
      </c>
      <c r="G8" s="13" t="s">
        <v>16</v>
      </c>
    </row>
    <row r="9" customFormat="false" ht="54" hidden="false" customHeight="true" outlineLevel="0" collapsed="false">
      <c r="A9" s="16" t="s">
        <v>43</v>
      </c>
      <c r="B9" s="17" t="s">
        <v>17</v>
      </c>
      <c r="C9" s="17" t="s">
        <v>18</v>
      </c>
      <c r="D9" s="16" t="s">
        <v>44</v>
      </c>
      <c r="E9" s="16" t="s">
        <v>45</v>
      </c>
      <c r="F9" s="18" t="n">
        <v>8</v>
      </c>
      <c r="G9" s="16" t="s">
        <v>19</v>
      </c>
    </row>
    <row r="10" customFormat="false" ht="54" hidden="false" customHeight="true" outlineLevel="0" collapsed="false">
      <c r="A10" s="13" t="s">
        <v>43</v>
      </c>
      <c r="B10" s="14" t="s">
        <v>20</v>
      </c>
      <c r="C10" s="14" t="s">
        <v>21</v>
      </c>
      <c r="D10" s="13" t="s">
        <v>48</v>
      </c>
      <c r="E10" s="13" t="s">
        <v>49</v>
      </c>
      <c r="F10" s="15" t="n">
        <v>9</v>
      </c>
      <c r="G10" s="13" t="s">
        <v>23</v>
      </c>
    </row>
    <row r="11" customFormat="false" ht="18" hidden="false" customHeight="true" outlineLevel="0" collapsed="false">
      <c r="A11" s="19"/>
      <c r="B11" s="19"/>
      <c r="C11" s="19"/>
      <c r="D11" s="19"/>
      <c r="E11" s="20" t="s">
        <v>50</v>
      </c>
      <c r="F11" s="21" t="n">
        <f aca="false">SUM(F6:F10)</f>
        <v>41</v>
      </c>
      <c r="G11" s="19"/>
    </row>
    <row r="13" customFormat="false" ht="54" hidden="false" customHeight="true" outlineLevel="0" collapsed="false">
      <c r="A13" s="13" t="s">
        <v>51</v>
      </c>
      <c r="B13" s="14" t="s">
        <v>24</v>
      </c>
      <c r="C13" s="14" t="s">
        <v>8</v>
      </c>
      <c r="D13" s="13" t="s">
        <v>44</v>
      </c>
      <c r="E13" s="13" t="s">
        <v>52</v>
      </c>
      <c r="F13" s="15" t="n">
        <v>3</v>
      </c>
      <c r="G13" s="13" t="s">
        <v>26</v>
      </c>
    </row>
    <row r="14" customFormat="false" ht="54" hidden="false" customHeight="true" outlineLevel="0" collapsed="false">
      <c r="A14" s="16" t="s">
        <v>51</v>
      </c>
      <c r="B14" s="17" t="s">
        <v>27</v>
      </c>
      <c r="C14" s="17" t="s">
        <v>12</v>
      </c>
      <c r="D14" s="16" t="s">
        <v>46</v>
      </c>
      <c r="E14" s="16" t="s">
        <v>52</v>
      </c>
      <c r="F14" s="18" t="n">
        <v>3</v>
      </c>
      <c r="G14" s="16" t="s">
        <v>28</v>
      </c>
    </row>
    <row r="15" customFormat="false" ht="54" hidden="false" customHeight="true" outlineLevel="0" collapsed="false">
      <c r="A15" s="13" t="s">
        <v>51</v>
      </c>
      <c r="B15" s="14" t="s">
        <v>29</v>
      </c>
      <c r="C15" s="14" t="s">
        <v>15</v>
      </c>
      <c r="D15" s="13" t="s">
        <v>44</v>
      </c>
      <c r="E15" s="13" t="s">
        <v>52</v>
      </c>
      <c r="F15" s="15" t="n">
        <v>3</v>
      </c>
      <c r="G15" s="13" t="s">
        <v>30</v>
      </c>
    </row>
    <row r="16" customFormat="false" ht="54" hidden="false" customHeight="true" outlineLevel="0" collapsed="false">
      <c r="A16" s="16" t="s">
        <v>51</v>
      </c>
      <c r="B16" s="17" t="s">
        <v>31</v>
      </c>
      <c r="C16" s="17" t="s">
        <v>18</v>
      </c>
      <c r="D16" s="16" t="s">
        <v>46</v>
      </c>
      <c r="E16" s="16" t="s">
        <v>53</v>
      </c>
      <c r="F16" s="18" t="n">
        <v>3</v>
      </c>
      <c r="G16" s="16" t="s">
        <v>32</v>
      </c>
    </row>
    <row r="17" customFormat="false" ht="54" hidden="false" customHeight="true" outlineLevel="0" collapsed="false">
      <c r="A17" s="13" t="s">
        <v>51</v>
      </c>
      <c r="B17" s="14" t="s">
        <v>33</v>
      </c>
      <c r="C17" s="14" t="s">
        <v>21</v>
      </c>
      <c r="D17" s="13" t="s">
        <v>46</v>
      </c>
      <c r="E17" s="13" t="s">
        <v>54</v>
      </c>
      <c r="F17" s="15" t="n">
        <v>3</v>
      </c>
      <c r="G17" s="13" t="s">
        <v>34</v>
      </c>
    </row>
    <row r="18" customFormat="false" ht="18" hidden="false" customHeight="true" outlineLevel="0" collapsed="false">
      <c r="A18" s="19"/>
      <c r="B18" s="19"/>
      <c r="C18" s="19"/>
      <c r="D18" s="19"/>
      <c r="E18" s="20" t="s">
        <v>55</v>
      </c>
      <c r="F18" s="21" t="n">
        <f aca="false">SUM(F13:F17)</f>
        <v>15</v>
      </c>
      <c r="G18" s="19"/>
    </row>
    <row r="20" customFormat="false" ht="21.75" hidden="false" customHeight="true" outlineLevel="0" collapsed="false">
      <c r="A20" s="22"/>
      <c r="B20" s="22"/>
      <c r="C20" s="22"/>
      <c r="D20" s="22"/>
      <c r="E20" s="23" t="s">
        <v>56</v>
      </c>
      <c r="F20" s="24" t="n">
        <f aca="false">F11+F18</f>
        <v>56</v>
      </c>
      <c r="G20" s="22"/>
    </row>
  </sheetData>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7"/>
    <col collapsed="false" customWidth="true" hidden="false" outlineLevel="0" max="3" min="3" style="0" width="15"/>
    <col collapsed="false" customWidth="true" hidden="false" outlineLevel="0" max="4" min="4" style="0" width="11"/>
    <col collapsed="false" customWidth="true" hidden="false" outlineLevel="0" max="9" min="9" style="0" width="9"/>
    <col collapsed="false" customWidth="true" hidden="false" outlineLevel="0" max="10" min="10" style="0" width="11"/>
  </cols>
  <sheetData>
    <row r="1" customFormat="false" ht="25.5" hidden="false" customHeight="true" outlineLevel="0" collapsed="false">
      <c r="A1" s="1" t="s">
        <v>57</v>
      </c>
      <c r="B1" s="1"/>
      <c r="C1" s="1"/>
      <c r="D1" s="1"/>
      <c r="E1" s="1"/>
      <c r="F1" s="1"/>
      <c r="G1" s="1"/>
      <c r="H1" s="1"/>
      <c r="I1" s="1"/>
      <c r="J1" s="1"/>
    </row>
    <row r="2" customFormat="false" ht="27.75" hidden="false" customHeight="true" outlineLevel="0" collapsed="false">
      <c r="A2" s="2" t="s">
        <v>58</v>
      </c>
      <c r="B2" s="2"/>
      <c r="C2" s="2"/>
      <c r="D2" s="2"/>
      <c r="E2" s="2"/>
      <c r="F2" s="2"/>
      <c r="G2" s="2"/>
      <c r="H2" s="2"/>
      <c r="I2" s="2"/>
      <c r="J2" s="2"/>
    </row>
    <row r="4" customFormat="false" ht="30" hidden="false" customHeight="true" outlineLevel="0" collapsed="false">
      <c r="A4" s="25" t="s">
        <v>2</v>
      </c>
      <c r="B4" s="25" t="s">
        <v>3</v>
      </c>
      <c r="C4" s="25" t="s">
        <v>59</v>
      </c>
      <c r="D4" s="25" t="s">
        <v>60</v>
      </c>
      <c r="E4" s="25" t="s">
        <v>61</v>
      </c>
      <c r="F4" s="25" t="s">
        <v>62</v>
      </c>
      <c r="G4" s="25" t="s">
        <v>63</v>
      </c>
      <c r="H4" s="25" t="s">
        <v>64</v>
      </c>
      <c r="I4" s="25" t="s">
        <v>65</v>
      </c>
      <c r="J4" s="25" t="s">
        <v>66</v>
      </c>
    </row>
    <row r="5" customFormat="false" ht="18" hidden="false" customHeight="true" outlineLevel="0" collapsed="false">
      <c r="A5" s="26" t="s">
        <v>67</v>
      </c>
      <c r="B5" s="26"/>
      <c r="C5" s="26"/>
      <c r="D5" s="26"/>
      <c r="E5" s="26"/>
      <c r="F5" s="26"/>
      <c r="G5" s="26"/>
      <c r="H5" s="26"/>
      <c r="I5" s="26"/>
      <c r="J5" s="26"/>
    </row>
    <row r="6" customFormat="false" ht="15" hidden="false" customHeight="true" outlineLevel="0" collapsed="false">
      <c r="A6" s="14" t="s">
        <v>7</v>
      </c>
      <c r="B6" s="14" t="s">
        <v>8</v>
      </c>
      <c r="C6" s="15" t="n">
        <v>8</v>
      </c>
      <c r="D6" s="15" t="n">
        <v>0</v>
      </c>
      <c r="E6" s="15" t="n">
        <f aca="false">C6+D6</f>
        <v>8</v>
      </c>
      <c r="F6" s="15" t="n">
        <v>8</v>
      </c>
      <c r="G6" s="15" t="n">
        <v>0</v>
      </c>
      <c r="H6" s="15" t="n">
        <v>0</v>
      </c>
      <c r="I6" s="15" t="n">
        <f aca="false">F6+G6+H6</f>
        <v>8</v>
      </c>
      <c r="J6" s="14" t="str">
        <f aca="false">IF(AND(E6=I6,C6=F6+G6,D6=H6),"MATCH","CHECK")</f>
        <v>MATCH</v>
      </c>
    </row>
    <row r="7" customFormat="false" ht="15" hidden="false" customHeight="true" outlineLevel="0" collapsed="false">
      <c r="A7" s="17" t="s">
        <v>11</v>
      </c>
      <c r="B7" s="17" t="s">
        <v>12</v>
      </c>
      <c r="C7" s="18" t="n">
        <v>8</v>
      </c>
      <c r="D7" s="18" t="n">
        <v>0</v>
      </c>
      <c r="E7" s="18" t="n">
        <f aca="false">C7+D7</f>
        <v>8</v>
      </c>
      <c r="F7" s="18" t="n">
        <v>8</v>
      </c>
      <c r="G7" s="18" t="n">
        <v>0</v>
      </c>
      <c r="H7" s="18" t="n">
        <v>0</v>
      </c>
      <c r="I7" s="18" t="n">
        <f aca="false">F7+G7+H7</f>
        <v>8</v>
      </c>
      <c r="J7" s="17" t="str">
        <f aca="false">IF(AND(E7=I7,C7=F7+G7,D7=H7),"MATCH","CHECK")</f>
        <v>MATCH</v>
      </c>
    </row>
    <row r="8" customFormat="false" ht="15" hidden="false" customHeight="true" outlineLevel="0" collapsed="false">
      <c r="A8" s="14" t="s">
        <v>14</v>
      </c>
      <c r="B8" s="14" t="s">
        <v>15</v>
      </c>
      <c r="C8" s="15" t="n">
        <v>8</v>
      </c>
      <c r="D8" s="15" t="n">
        <v>0</v>
      </c>
      <c r="E8" s="15" t="n">
        <f aca="false">C8+D8</f>
        <v>8</v>
      </c>
      <c r="F8" s="15" t="n">
        <v>8</v>
      </c>
      <c r="G8" s="15" t="n">
        <v>0</v>
      </c>
      <c r="H8" s="15" t="n">
        <v>0</v>
      </c>
      <c r="I8" s="15" t="n">
        <f aca="false">F8+G8+H8</f>
        <v>8</v>
      </c>
      <c r="J8" s="14" t="str">
        <f aca="false">IF(AND(E8=I8,C8=F8+G8,D8=H8),"MATCH","CHECK")</f>
        <v>MATCH</v>
      </c>
    </row>
    <row r="9" customFormat="false" ht="15" hidden="false" customHeight="true" outlineLevel="0" collapsed="false">
      <c r="A9" s="17" t="s">
        <v>17</v>
      </c>
      <c r="B9" s="17" t="s">
        <v>18</v>
      </c>
      <c r="C9" s="18" t="n">
        <v>8</v>
      </c>
      <c r="D9" s="18" t="n">
        <v>0</v>
      </c>
      <c r="E9" s="18" t="n">
        <f aca="false">C9+D9</f>
        <v>8</v>
      </c>
      <c r="F9" s="18" t="n">
        <v>8</v>
      </c>
      <c r="G9" s="18" t="n">
        <v>0</v>
      </c>
      <c r="H9" s="18" t="n">
        <v>0</v>
      </c>
      <c r="I9" s="18" t="n">
        <f aca="false">F9+G9+H9</f>
        <v>8</v>
      </c>
      <c r="J9" s="17" t="str">
        <f aca="false">IF(AND(E9=I9,C9=F9+G9,D9=H9),"MATCH","CHECK")</f>
        <v>MATCH</v>
      </c>
    </row>
    <row r="10" customFormat="false" ht="15" hidden="false" customHeight="true" outlineLevel="0" collapsed="false">
      <c r="A10" s="14" t="s">
        <v>20</v>
      </c>
      <c r="B10" s="14" t="s">
        <v>21</v>
      </c>
      <c r="C10" s="15" t="n">
        <v>0</v>
      </c>
      <c r="D10" s="15" t="n">
        <v>9</v>
      </c>
      <c r="E10" s="15" t="n">
        <f aca="false">C10+D10</f>
        <v>9</v>
      </c>
      <c r="F10" s="15" t="n">
        <v>0</v>
      </c>
      <c r="G10" s="15" t="n">
        <v>0</v>
      </c>
      <c r="H10" s="15" t="n">
        <v>9</v>
      </c>
      <c r="I10" s="15" t="n">
        <f aca="false">F10+G10+H10</f>
        <v>9</v>
      </c>
      <c r="J10" s="14" t="str">
        <f aca="false">IF(AND(E10=I10,C10=F10+G10,D10=H10),"MATCH","CHECK")</f>
        <v>MATCH</v>
      </c>
    </row>
    <row r="11" customFormat="false" ht="18" hidden="false" customHeight="true" outlineLevel="0" collapsed="false">
      <c r="A11" s="20" t="s">
        <v>68</v>
      </c>
      <c r="B11" s="19"/>
      <c r="C11" s="21" t="n">
        <f aca="false">SUM(C6:C10)</f>
        <v>32</v>
      </c>
      <c r="D11" s="21" t="n">
        <f aca="false">SUM(D6:D10)</f>
        <v>9</v>
      </c>
      <c r="E11" s="21" t="n">
        <f aca="false">SUM(E6:E10)</f>
        <v>41</v>
      </c>
      <c r="F11" s="21" t="n">
        <f aca="false">SUM(F6:F10)</f>
        <v>32</v>
      </c>
      <c r="G11" s="21" t="n">
        <f aca="false">SUM(G6:G10)</f>
        <v>0</v>
      </c>
      <c r="H11" s="21" t="n">
        <f aca="false">SUM(H6:H10)</f>
        <v>9</v>
      </c>
      <c r="I11" s="21" t="n">
        <f aca="false">SUM(I6:I10)</f>
        <v>41</v>
      </c>
      <c r="J11" s="27" t="str">
        <f aca="false">IF(AND(E11=I11,C11=F11+G11,D11=H11),"MATCH","CHECK")</f>
        <v>MATCH</v>
      </c>
    </row>
    <row r="12" customFormat="false" ht="18" hidden="false" customHeight="true" outlineLevel="0" collapsed="false">
      <c r="A12" s="26" t="s">
        <v>69</v>
      </c>
      <c r="B12" s="26"/>
      <c r="C12" s="26"/>
      <c r="D12" s="26"/>
      <c r="E12" s="26"/>
      <c r="F12" s="26"/>
      <c r="G12" s="26"/>
      <c r="H12" s="26"/>
      <c r="I12" s="26"/>
      <c r="J12" s="26"/>
    </row>
    <row r="13" customFormat="false" ht="15" hidden="false" customHeight="true" outlineLevel="0" collapsed="false">
      <c r="A13" s="14" t="s">
        <v>24</v>
      </c>
      <c r="B13" s="14" t="s">
        <v>8</v>
      </c>
      <c r="C13" s="15" t="n">
        <v>8</v>
      </c>
      <c r="D13" s="15" t="n">
        <v>0</v>
      </c>
      <c r="E13" s="15" t="n">
        <f aca="false">C13+D13</f>
        <v>8</v>
      </c>
      <c r="F13" s="15" t="n">
        <v>3</v>
      </c>
      <c r="G13" s="15" t="n">
        <v>0</v>
      </c>
      <c r="H13" s="15" t="n">
        <v>0</v>
      </c>
      <c r="I13" s="15" t="n">
        <f aca="false">F13+G13+H13</f>
        <v>3</v>
      </c>
      <c r="J13" s="14" t="str">
        <f aca="false">IF(AND(E13=I13,C13=F13+G13,D13=H13),"MATCH","CHECK")</f>
        <v>CHECK</v>
      </c>
    </row>
    <row r="14" customFormat="false" ht="15" hidden="false" customHeight="true" outlineLevel="0" collapsed="false">
      <c r="A14" s="17" t="s">
        <v>27</v>
      </c>
      <c r="B14" s="17" t="s">
        <v>12</v>
      </c>
      <c r="C14" s="18" t="n">
        <v>8</v>
      </c>
      <c r="D14" s="18" t="n">
        <v>0</v>
      </c>
      <c r="E14" s="18" t="n">
        <f aca="false">C14+D14</f>
        <v>8</v>
      </c>
      <c r="F14" s="18" t="n">
        <v>3</v>
      </c>
      <c r="G14" s="18" t="n">
        <v>0</v>
      </c>
      <c r="H14" s="18" t="n">
        <v>0</v>
      </c>
      <c r="I14" s="18" t="n">
        <f aca="false">F14+G14+H14</f>
        <v>3</v>
      </c>
      <c r="J14" s="17" t="str">
        <f aca="false">IF(AND(E14=I14,C14=F14+G14,D14=H14),"MATCH","CHECK")</f>
        <v>CHECK</v>
      </c>
    </row>
    <row r="15" customFormat="false" ht="15" hidden="false" customHeight="true" outlineLevel="0" collapsed="false">
      <c r="A15" s="14" t="s">
        <v>29</v>
      </c>
      <c r="B15" s="14" t="s">
        <v>15</v>
      </c>
      <c r="C15" s="15" t="n">
        <v>8</v>
      </c>
      <c r="D15" s="15" t="n">
        <v>0</v>
      </c>
      <c r="E15" s="15" t="n">
        <f aca="false">C15+D15</f>
        <v>8</v>
      </c>
      <c r="F15" s="15" t="n">
        <v>3</v>
      </c>
      <c r="G15" s="15" t="n">
        <v>0</v>
      </c>
      <c r="H15" s="15" t="n">
        <v>0</v>
      </c>
      <c r="I15" s="15" t="n">
        <f aca="false">F15+G15+H15</f>
        <v>3</v>
      </c>
      <c r="J15" s="14" t="str">
        <f aca="false">IF(AND(E15=I15,C15=F15+G15,D15=H15),"MATCH","CHECK")</f>
        <v>CHECK</v>
      </c>
    </row>
    <row r="16" customFormat="false" ht="15" hidden="false" customHeight="true" outlineLevel="0" collapsed="false">
      <c r="A16" s="17" t="s">
        <v>31</v>
      </c>
      <c r="B16" s="17" t="s">
        <v>18</v>
      </c>
      <c r="C16" s="18" t="n">
        <v>8</v>
      </c>
      <c r="D16" s="18" t="n">
        <v>0</v>
      </c>
      <c r="E16" s="18" t="n">
        <f aca="false">C16+D16</f>
        <v>8</v>
      </c>
      <c r="F16" s="18" t="n">
        <v>3</v>
      </c>
      <c r="G16" s="18" t="n">
        <v>0</v>
      </c>
      <c r="H16" s="18" t="n">
        <v>0</v>
      </c>
      <c r="I16" s="18" t="n">
        <f aca="false">F16+G16+H16</f>
        <v>3</v>
      </c>
      <c r="J16" s="17" t="str">
        <f aca="false">IF(AND(E16=I16,C16=F16+G16,D16=H16),"MATCH","CHECK")</f>
        <v>CHECK</v>
      </c>
    </row>
    <row r="17" customFormat="false" ht="15" hidden="false" customHeight="true" outlineLevel="0" collapsed="false">
      <c r="A17" s="14" t="s">
        <v>33</v>
      </c>
      <c r="B17" s="14" t="s">
        <v>21</v>
      </c>
      <c r="C17" s="15" t="n">
        <v>8</v>
      </c>
      <c r="D17" s="15" t="n">
        <v>0</v>
      </c>
      <c r="E17" s="15" t="n">
        <f aca="false">C17+D17</f>
        <v>8</v>
      </c>
      <c r="F17" s="15" t="n">
        <v>3</v>
      </c>
      <c r="G17" s="15" t="n">
        <v>0</v>
      </c>
      <c r="H17" s="15" t="n">
        <v>0</v>
      </c>
      <c r="I17" s="15" t="n">
        <f aca="false">F17+G17+H17</f>
        <v>3</v>
      </c>
      <c r="J17" s="14" t="str">
        <f aca="false">IF(AND(E17=I17,C17=F17+G17,D17=H17),"MATCH","CHECK")</f>
        <v>CHECK</v>
      </c>
    </row>
    <row r="18" customFormat="false" ht="18" hidden="false" customHeight="true" outlineLevel="0" collapsed="false">
      <c r="A18" s="20" t="s">
        <v>68</v>
      </c>
      <c r="B18" s="19"/>
      <c r="C18" s="21" t="n">
        <f aca="false">SUM(C13:C17)</f>
        <v>40</v>
      </c>
      <c r="D18" s="21" t="n">
        <f aca="false">SUM(D13:D17)</f>
        <v>0</v>
      </c>
      <c r="E18" s="21" t="n">
        <f aca="false">SUM(E13:E17)</f>
        <v>40</v>
      </c>
      <c r="F18" s="21" t="n">
        <f aca="false">SUM(F13:F17)</f>
        <v>15</v>
      </c>
      <c r="G18" s="21" t="n">
        <f aca="false">SUM(G13:G17)</f>
        <v>0</v>
      </c>
      <c r="H18" s="21" t="n">
        <f aca="false">SUM(H13:H17)</f>
        <v>0</v>
      </c>
      <c r="I18" s="21" t="n">
        <f aca="false">SUM(I13:I17)</f>
        <v>15</v>
      </c>
      <c r="J18" s="27" t="str">
        <f aca="false">IF(AND(E18=I18,C18=F18+G18,D18=H18),"MATCH","CHECK")</f>
        <v>CHECK</v>
      </c>
    </row>
    <row r="20" customFormat="false" ht="21.75" hidden="false" customHeight="true" outlineLevel="0" collapsed="false">
      <c r="A20" s="23" t="s">
        <v>70</v>
      </c>
      <c r="B20" s="22"/>
      <c r="C20" s="24" t="n">
        <f aca="false">C11+C18</f>
        <v>72</v>
      </c>
      <c r="D20" s="24" t="n">
        <f aca="false">D11+D18</f>
        <v>9</v>
      </c>
      <c r="E20" s="24" t="n">
        <f aca="false">E11+E18</f>
        <v>81</v>
      </c>
      <c r="F20" s="24" t="n">
        <f aca="false">F11+F18</f>
        <v>47</v>
      </c>
      <c r="G20" s="24" t="n">
        <f aca="false">G11+G18</f>
        <v>0</v>
      </c>
      <c r="H20" s="24" t="n">
        <f aca="false">H11+H18</f>
        <v>9</v>
      </c>
      <c r="I20" s="24" t="n">
        <f aca="false">I11+I18</f>
        <v>56</v>
      </c>
      <c r="J20" s="28" t="str">
        <f aca="false">IF(AND(E20=I20,C20=F20+G20,D20=H20),"MATCH","CHECK")</f>
        <v>CHECK</v>
      </c>
    </row>
    <row r="22" customFormat="false" ht="13.5" hidden="false" customHeight="true" outlineLevel="0" collapsed="false">
      <c r="A22" s="11" t="s">
        <v>71</v>
      </c>
      <c r="B22" s="11"/>
      <c r="C22" s="11"/>
      <c r="D22" s="11"/>
      <c r="E22" s="11"/>
      <c r="F22" s="11"/>
      <c r="G22" s="11"/>
      <c r="H22" s="11"/>
      <c r="I22" s="11"/>
      <c r="J22" s="11"/>
    </row>
    <row r="23" customFormat="false" ht="27" hidden="false" customHeight="true" outlineLevel="0" collapsed="false">
      <c r="A23" s="11" t="s">
        <v>72</v>
      </c>
      <c r="B23" s="11"/>
      <c r="C23" s="11"/>
      <c r="D23" s="11"/>
      <c r="E23" s="11"/>
      <c r="F23" s="11"/>
      <c r="G23" s="11"/>
      <c r="H23" s="11"/>
      <c r="I23" s="11"/>
      <c r="J23" s="11"/>
    </row>
    <row r="24" customFormat="false" ht="27" hidden="false" customHeight="true" outlineLevel="0" collapsed="false">
      <c r="A24" s="11" t="s">
        <v>73</v>
      </c>
      <c r="B24" s="11"/>
      <c r="C24" s="11"/>
      <c r="D24" s="11"/>
      <c r="E24" s="11"/>
      <c r="F24" s="11"/>
      <c r="G24" s="11"/>
      <c r="H24" s="11"/>
      <c r="I24" s="11"/>
      <c r="J24" s="11"/>
    </row>
    <row r="25" customFormat="false" ht="27" hidden="false" customHeight="true" outlineLevel="0" collapsed="false">
      <c r="A25" s="11" t="s">
        <v>74</v>
      </c>
      <c r="B25" s="11"/>
      <c r="C25" s="11"/>
      <c r="D25" s="11"/>
      <c r="E25" s="11"/>
      <c r="F25" s="11"/>
      <c r="G25" s="11"/>
      <c r="H25" s="11"/>
      <c r="I25" s="11"/>
      <c r="J25" s="11"/>
    </row>
    <row r="26" customFormat="false" ht="27" hidden="false" customHeight="true" outlineLevel="0" collapsed="false">
      <c r="A26" s="11" t="s">
        <v>75</v>
      </c>
      <c r="B26" s="11"/>
      <c r="C26" s="11"/>
      <c r="D26" s="11"/>
      <c r="E26" s="11"/>
      <c r="F26" s="11"/>
      <c r="G26" s="11"/>
      <c r="H26" s="11"/>
      <c r="I26" s="11"/>
      <c r="J26" s="11"/>
    </row>
  </sheetData>
  <mergeCells count="9">
    <mergeCell ref="A1:J1"/>
    <mergeCell ref="A2:J2"/>
    <mergeCell ref="A5:J5"/>
    <mergeCell ref="A12:J12"/>
    <mergeCell ref="A22:J22"/>
    <mergeCell ref="A23:J23"/>
    <mergeCell ref="A24:J24"/>
    <mergeCell ref="A25:J25"/>
    <mergeCell ref="A26:J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2026-09-08T10:34:16Z</dcterms:created>
  <dc:creator>Mihir Kumar Singh</dc:creator>
  <dc:description/>
  <dc:language>en-US</dc:language>
  <cp:lastModifiedBy>Mihir Kumar Singh</cp:lastModifiedBy>
  <dcterms:modified xsi:type="dcterms:W3CDTF">2026-09-08T10:34:16Z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