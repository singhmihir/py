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 Notes (Copy-Paste)" sheetId="1" state="visible" r:id="rId1"/>
    <sheet xmlns:r="http://schemas.openxmlformats.org/officeDocument/2006/relationships" name="ServiceNow Daily Timecard" sheetId="2" state="visible" r:id="rId2"/>
    <sheet xmlns:r="http://schemas.openxmlformats.org/officeDocument/2006/relationships" name="Deloitte Reconciliation"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4"/>
    </font>
    <font>
      <name val="Arial"/>
      <color rgb="FF000000"/>
      <sz val="9"/>
    </font>
    <font>
      <name val="Arial"/>
      <b val="1"/>
      <color rgb="FFFFFFFF"/>
      <sz val="10"/>
    </font>
    <font>
      <name val="Arial"/>
      <color rgb="FF000000"/>
      <sz val="10"/>
    </font>
    <font>
      <name val="Arial"/>
      <color rgb="FF44546A"/>
      <sz val="8.5"/>
    </font>
    <font>
      <name val="Arial"/>
      <color rgb="FF000000"/>
      <sz val="9.5"/>
    </font>
    <font>
      <name val="Arial"/>
      <b val="1"/>
      <color rgb="FF152744"/>
      <sz val="10"/>
    </font>
    <font>
      <name val="Arial"/>
      <b val="1"/>
      <color rgb="FFFFFFFF"/>
      <sz val="11"/>
    </font>
    <font>
      <name val="Arial"/>
      <b val="1"/>
      <color rgb="FFFFFFFF"/>
      <sz val="9.5"/>
    </font>
  </fonts>
  <fills count="6">
    <fill>
      <patternFill/>
    </fill>
    <fill>
      <patternFill patternType="gray125"/>
    </fill>
    <fill>
      <patternFill patternType="solid">
        <fgColor rgb="FF1F3864"/>
        <bgColor rgb="FF1F3864"/>
      </patternFill>
    </fill>
    <fill>
      <patternFill patternType="solid">
        <fgColor rgb="FFEAF0F8"/>
        <bgColor rgb="FFEAF0F8"/>
      </patternFill>
    </fill>
    <fill>
      <patternFill patternType="solid">
        <fgColor rgb="FFD6E1F0"/>
        <bgColor rgb="FFD6E1F0"/>
      </patternFill>
    </fill>
    <fill>
      <patternFill patternType="solid">
        <fgColor rgb="FF152744"/>
        <bgColor rgb="FF15274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4" fillId="0" borderId="1" applyAlignment="1" pivotButton="0" quotePrefix="0" xfId="0">
      <alignment horizontal="center" vertical="center"/>
    </xf>
    <xf numFmtId="2" fontId="4" fillId="0" borderId="1" applyAlignment="1" pivotButton="0" quotePrefix="0" xfId="0">
      <alignment horizontal="center" vertical="center"/>
    </xf>
    <xf numFmtId="0" fontId="4" fillId="0" borderId="1" applyAlignment="1" pivotButton="0" quotePrefix="0" xfId="0">
      <alignment horizontal="left" vertical="center" wrapText="1"/>
    </xf>
    <xf numFmtId="0" fontId="4" fillId="3" borderId="1" applyAlignment="1" pivotButton="0" quotePrefix="0" xfId="0">
      <alignment horizontal="center" vertical="center"/>
    </xf>
    <xf numFmtId="2" fontId="4" fillId="3" borderId="1" applyAlignment="1" pivotButton="0" quotePrefix="0" xfId="0">
      <alignment horizontal="center" vertical="center"/>
    </xf>
    <xf numFmtId="0" fontId="4" fillId="3" borderId="1"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xf>
    <xf numFmtId="0" fontId="6" fillId="0" borderId="1" applyAlignment="1" pivotButton="0" quotePrefix="0" xfId="0">
      <alignment horizontal="left" vertical="center" wrapText="1"/>
    </xf>
    <xf numFmtId="0" fontId="6" fillId="0" borderId="1" applyAlignment="1" pivotButton="0" quotePrefix="0" xfId="0">
      <alignment horizontal="center" vertical="center"/>
    </xf>
    <xf numFmtId="2" fontId="6" fillId="0" borderId="1" applyAlignment="1" pivotButton="0" quotePrefix="0" xfId="0">
      <alignment horizontal="center" vertical="center"/>
    </xf>
    <xf numFmtId="0" fontId="6" fillId="3" borderId="1" applyAlignment="1" pivotButton="0" quotePrefix="0" xfId="0">
      <alignment horizontal="left" vertical="center" wrapText="1"/>
    </xf>
    <xf numFmtId="0" fontId="6" fillId="3" borderId="1" applyAlignment="1" pivotButton="0" quotePrefix="0" xfId="0">
      <alignment horizontal="center" vertical="center"/>
    </xf>
    <xf numFmtId="2" fontId="6" fillId="3" borderId="1" applyAlignment="1" pivotButton="0" quotePrefix="0" xfId="0">
      <alignment horizontal="center" vertical="center"/>
    </xf>
    <xf numFmtId="0" fontId="7" fillId="4" borderId="1" applyAlignment="1" pivotButton="0" quotePrefix="0" xfId="0">
      <alignment horizontal="left" vertical="center"/>
    </xf>
    <xf numFmtId="0" fontId="7" fillId="4" borderId="1" applyAlignment="1" pivotButton="0" quotePrefix="0" xfId="0">
      <alignment horizontal="right" vertical="center"/>
    </xf>
    <xf numFmtId="2" fontId="7" fillId="4" borderId="1" applyAlignment="1" pivotButton="0" quotePrefix="0" xfId="0">
      <alignment horizontal="center" vertical="center"/>
    </xf>
    <xf numFmtId="0" fontId="8" fillId="2" borderId="1" applyAlignment="1" pivotButton="0" quotePrefix="0" xfId="0">
      <alignment horizontal="left" vertical="center"/>
    </xf>
    <xf numFmtId="0" fontId="8" fillId="2" borderId="1" applyAlignment="1" pivotButton="0" quotePrefix="0" xfId="0">
      <alignment horizontal="right" vertical="center"/>
    </xf>
    <xf numFmtId="2" fontId="8" fillId="2" borderId="1" applyAlignment="1" pivotButton="0" quotePrefix="0" xfId="0">
      <alignment horizontal="center" vertical="center"/>
    </xf>
    <xf numFmtId="0" fontId="9" fillId="2" borderId="1" applyAlignment="1" pivotButton="0" quotePrefix="0" xfId="0">
      <alignment horizontal="center" vertical="center" wrapText="1"/>
    </xf>
    <xf numFmtId="0" fontId="3" fillId="5" borderId="0" applyAlignment="1" pivotButton="0" quotePrefix="0" xfId="0">
      <alignment horizontal="left" vertical="center"/>
    </xf>
    <xf numFmtId="0" fontId="7" fillId="4" borderId="1" applyAlignment="1" pivotButton="0" quotePrefix="0" xfId="0">
      <alignment horizontal="center" vertical="center"/>
    </xf>
    <xf numFmtId="0" fontId="8"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13" customWidth="1" min="1" max="1"/>
    <col width="7" customWidth="1" min="2" max="2"/>
    <col width="9" customWidth="1" min="3" max="3"/>
    <col width="22" customWidth="1" min="4" max="4"/>
    <col width="104" customWidth="1" min="5" max="5"/>
  </cols>
  <sheetData>
    <row r="1" ht="25.5" customHeight="1">
      <c r="A1" s="1" t="inlineStr">
        <is>
          <t>ServiceNow Time Card  |  Daily Notes, one day per cell</t>
        </is>
      </c>
    </row>
    <row r="2" ht="31.5" customHeight="1">
      <c r="A2" s="2" t="inlineStr">
        <is>
          <t>Period: 21-Sep-2026 to 25-Sep-2026   |   Mihir Kumar Singh, L45 Security Engineer III, Kolkata   |   Bank of America USEM / VMT, AIT 75624   |   JIRA: SNOWUSEMTP.  Format per ServiceNow time-card guidance: [Line] - [Outcome]. Copy a single cell into that day's time-card comment. Daily hours tie to the Deloitte system of record.</t>
        </is>
      </c>
    </row>
    <row r="4" ht="19.5" customHeight="1">
      <c r="A4" s="3" t="inlineStr">
        <is>
          <t>Date</t>
        </is>
      </c>
      <c r="B4" s="3" t="inlineStr">
        <is>
          <t>Day</t>
        </is>
      </c>
      <c r="C4" s="3" t="inlineStr">
        <is>
          <t>Hours</t>
        </is>
      </c>
      <c r="D4" s="3" t="inlineStr">
        <is>
          <t>Time Card Line</t>
        </is>
      </c>
      <c r="E4" s="4" t="inlineStr">
        <is>
          <t>Time Card Note  (copy one cell per day into ServiceNow)</t>
        </is>
      </c>
    </row>
    <row r="5" ht="57.75" customHeight="1">
      <c r="A5" s="5" t="inlineStr">
        <is>
          <t>21-Sep-2026</t>
        </is>
      </c>
      <c r="B5" s="5" t="inlineStr">
        <is>
          <t>Mon</t>
        </is>
      </c>
      <c r="C5" s="6" t="n">
        <v>8</v>
      </c>
      <c r="D5" s="7" t="inlineStr">
        <is>
          <t>Project (8h)</t>
        </is>
      </c>
      <c r="E5" s="7" t="inlineStr">
        <is>
          <t>Documentation - SNOWUSEMTP-895: completed the CMDB team demo deck on the Qualys CI lookup rules from the client run: for every rule, what it looks for, how the script works and when it declines, one example dedicated to the rule and step-by-step pages linking every record and filter on the development instance, driven by a read-only trace script; text boxes sized to the page in the Bank of America palette. Also started SNOWUSEMTP-1624, the consequence outbound payload to CDP, built in the consequence application with validation and error handling (V1.2).</t>
        </is>
      </c>
    </row>
    <row r="6" ht="57.75" customHeight="1">
      <c r="A6" s="8" t="inlineStr">
        <is>
          <t>22-Sep-2026</t>
        </is>
      </c>
      <c r="B6" s="8" t="inlineStr">
        <is>
          <t>Tue</t>
        </is>
      </c>
      <c r="C6" s="9" t="n">
        <v>8</v>
      </c>
      <c r="D6" s="10" t="inlineStr">
        <is>
          <t>Project (8h)</t>
        </is>
      </c>
      <c r="E6" s="10" t="inlineStr">
        <is>
          <t>Configurations - SNOWUSEMTP-1804: reworked the VAMP outbound payload to the JSON structure names of the mapping sheet, covering all remediation task types, with one property holding the sections and fields as in the CDP payloads, payload validation before the send and the Kafka story comment standard (V2.0). Reviewed the four Kafka outbound script sets (SNOWUSEMTP-1625, the Kafka producer, SNOWUSEMTP-1624 and SNOWUSEMTP-1804) and fixed and re-tested the findings of the review.</t>
        </is>
      </c>
    </row>
    <row r="7" ht="57.75" customHeight="1">
      <c r="A7" s="5" t="inlineStr">
        <is>
          <t>23-Sep-2026</t>
        </is>
      </c>
      <c r="B7" s="5" t="inlineStr">
        <is>
          <t>Wed</t>
        </is>
      </c>
      <c r="C7" s="6" t="n">
        <v>8</v>
      </c>
      <c r="D7" s="7" t="inlineStr">
        <is>
          <t>Project (8h)</t>
        </is>
      </c>
      <c r="E7" s="7" t="inlineStr">
        <is>
          <t>Configurations - SNOWUSEMTP-1624 / SNOWUSEMTP-1625: merged the Kafka producers into one script include called by the business rules on consequences, remediation tasks and vulnerable items, with the topic property chosen by the record's table, a synchronous send and the Kafka response shown on the record; restored the missing-field and payload messages in the processors. Delivered producer V1.5, consequence outbound V1.5 and VAMP outbound V2.3, each tested and previewed on import. Began SNOWUSEMTP-1639 with an analysis of the CDP IVR inbound build and the questions for the VAMP team, with the blockers marked.</t>
        </is>
      </c>
    </row>
    <row r="8" ht="57.75" customHeight="1">
      <c r="A8" s="8" t="inlineStr">
        <is>
          <t>24-Sep-2026</t>
        </is>
      </c>
      <c r="B8" s="8" t="inlineStr">
        <is>
          <t>Thu</t>
        </is>
      </c>
      <c r="C8" s="9" t="n">
        <v>8</v>
      </c>
      <c r="D8" s="10" t="inlineStr">
        <is>
          <t>Project (8h)</t>
        </is>
      </c>
      <c r="E8" s="10" t="inlineStr">
        <is>
          <t>Documentation - SNOWUSEMTP-1639: produced the architecture overview of the CDP IVR inbound build (Kafka topic, stream, script consumer, import set, transform map and Detection API, with a link to every record on the development instance) and a companion document explaining the three transform map scripts step by step, from the staging row through host matching and the Detection API to the vulnerable item, with the questions the team is likely to raise answered from the code.</t>
        </is>
      </c>
    </row>
    <row r="9" ht="57.75" customHeight="1">
      <c r="A9" s="5" t="inlineStr">
        <is>
          <t>25-Sep-2026</t>
        </is>
      </c>
      <c r="B9" s="5" t="inlineStr">
        <is>
          <t>Fri</t>
        </is>
      </c>
      <c r="C9" s="6" t="n">
        <v>8</v>
      </c>
      <c r="D9" s="7" t="inlineStr">
        <is>
          <t>Project (8h)</t>
        </is>
      </c>
      <c r="E9" s="7" t="inlineStr">
        <is>
          <t>Design - SNOWUSEMTP-2125: designed the architecture for bringing VAMP findings into Application Vulnerability Response over Hermes: script consumer and import set feeding a transform map whose scripts call the out-of-box AVR import API for the application release, application vulnerability entry and application vulnerable item, with the pen test assessment request handled by a lookup-or-create since no out-of-box API covers it. Delivered the diagram with the table of out-of-box code used, not used and not usable.</t>
        </is>
      </c>
    </row>
    <row r="11" ht="25.5" customHeight="1">
      <c r="A11" s="11" t="inlineStr">
        <is>
          <t>Week ending 26-Sep carries a single Project line Mon to Fri (8.00h each). See the Reconciliation sheet for the line-by-line tie-out; the Deloitte columns hold the planned 8.00h per day until the approved T&amp;E is available.</t>
        </is>
      </c>
    </row>
  </sheetData>
  <mergeCells count="3">
    <mergeCell ref="A2:E2"/>
    <mergeCell ref="A11:E1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5" topLeftCell="A6" activePane="bottomLeft" state="frozen"/>
      <selection pane="bottomLeft" activeCell="A1" sqref="A1"/>
    </sheetView>
  </sheetViews>
  <sheetFormatPr baseColWidth="8" defaultRowHeight="15"/>
  <cols>
    <col width="15" customWidth="1" min="1" max="1"/>
    <col width="13" customWidth="1" min="2" max="2"/>
    <col width="7" customWidth="1" min="3" max="3"/>
    <col width="17" customWidth="1" min="4" max="4"/>
    <col width="26" customWidth="1" min="5" max="5"/>
    <col width="9" customWidth="1" min="6" max="6"/>
    <col width="92" customWidth="1" min="7" max="7"/>
  </cols>
  <sheetData>
    <row r="1" ht="25.5" customHeight="1">
      <c r="A1" s="1" t="inlineStr">
        <is>
          <t>ServiceNow Time Card  |  Daily Activity Log</t>
        </is>
      </c>
    </row>
    <row r="2" ht="15" customHeight="1">
      <c r="A2" s="12" t="inlineStr">
        <is>
          <t>Resource: Mihir Kumar Singh   |   Role: Security Engineer III (L45), Kolkata   |   Engagement: Bank of America USEM / VMT   |   AIT: 75624   |   Team: SNow Boarders (34830)</t>
        </is>
      </c>
    </row>
    <row r="3" ht="15" customHeight="1">
      <c r="A3" s="12" t="inlineStr">
        <is>
          <t>Period: 21-Sep-2026 to 25-Sep-2026   |   JIRA Project: SNOWUSEMTP   |   Notes format per ServiceNow time-card guidance: [Line] - [Outcome]</t>
        </is>
      </c>
    </row>
    <row r="5" ht="19.5" customHeight="1">
      <c r="A5" s="3" t="inlineStr">
        <is>
          <t>Week Ending</t>
        </is>
      </c>
      <c r="B5" s="3" t="inlineStr">
        <is>
          <t>Date</t>
        </is>
      </c>
      <c r="C5" s="3" t="inlineStr">
        <is>
          <t>Day</t>
        </is>
      </c>
      <c r="D5" s="3" t="inlineStr">
        <is>
          <t>Activity Type</t>
        </is>
      </c>
      <c r="E5" s="3" t="inlineStr">
        <is>
          <t>Story / Reference</t>
        </is>
      </c>
      <c r="F5" s="3" t="inlineStr">
        <is>
          <t>Hours</t>
        </is>
      </c>
      <c r="G5" s="3" t="inlineStr">
        <is>
          <t>Timecard Notes</t>
        </is>
      </c>
    </row>
    <row r="6" ht="54" customHeight="1">
      <c r="A6" s="13" t="inlineStr">
        <is>
          <t>26-Sep-2026</t>
        </is>
      </c>
      <c r="B6" s="14" t="inlineStr">
        <is>
          <t>21-Sep-2026</t>
        </is>
      </c>
      <c r="C6" s="14" t="inlineStr">
        <is>
          <t>Mon</t>
        </is>
      </c>
      <c r="D6" s="13" t="inlineStr">
        <is>
          <t>Documentation</t>
        </is>
      </c>
      <c r="E6" s="13" t="inlineStr">
        <is>
          <t>SNOWUSEMTP-895</t>
        </is>
      </c>
      <c r="F6" s="15" t="n">
        <v>8</v>
      </c>
      <c r="G6" s="13" t="inlineStr">
        <is>
          <t>Documentation - SNOWUSEMTP-895: completed the CMDB team demo deck on the Qualys CI lookup rules from the client run: for every rule, what it looks for, how the script works and when it declines, one example dedicated to the rule and step-by-step pages linking every record and filter on the development instance, driven by a read-only trace script; text boxes sized to the page in the Bank of America palette. Also started SNOWUSEMTP-1624, the consequence outbound payload to CDP, built in the consequence application with validation and error handling (V1.2).</t>
        </is>
      </c>
    </row>
    <row r="7" ht="54" customHeight="1">
      <c r="A7" s="16" t="inlineStr">
        <is>
          <t>26-Sep-2026</t>
        </is>
      </c>
      <c r="B7" s="17" t="inlineStr">
        <is>
          <t>22-Sep-2026</t>
        </is>
      </c>
      <c r="C7" s="17" t="inlineStr">
        <is>
          <t>Tue</t>
        </is>
      </c>
      <c r="D7" s="16" t="inlineStr">
        <is>
          <t>Configurations</t>
        </is>
      </c>
      <c r="E7" s="16" t="inlineStr">
        <is>
          <t>SNOWUSEMTP-1804</t>
        </is>
      </c>
      <c r="F7" s="18" t="n">
        <v>8</v>
      </c>
      <c r="G7" s="16" t="inlineStr">
        <is>
          <t>Configurations - SNOWUSEMTP-1804: reworked the VAMP outbound payload to the JSON structure names of the mapping sheet, covering all remediation task types, with one property holding the sections and fields as in the CDP payloads, payload validation before the send and the Kafka story comment standard (V2.0). Reviewed the four Kafka outbound script sets (SNOWUSEMTP-1625, the Kafka producer, SNOWUSEMTP-1624 and SNOWUSEMTP-1804) and fixed and re-tested the findings of the review.</t>
        </is>
      </c>
    </row>
    <row r="8" ht="54" customHeight="1">
      <c r="A8" s="13" t="inlineStr">
        <is>
          <t>26-Sep-2026</t>
        </is>
      </c>
      <c r="B8" s="14" t="inlineStr">
        <is>
          <t>23-Sep-2026</t>
        </is>
      </c>
      <c r="C8" s="14" t="inlineStr">
        <is>
          <t>Wed</t>
        </is>
      </c>
      <c r="D8" s="13" t="inlineStr">
        <is>
          <t>Configurations</t>
        </is>
      </c>
      <c r="E8" s="13" t="inlineStr">
        <is>
          <t>SNOWUSEMTP-1624</t>
        </is>
      </c>
      <c r="F8" s="15" t="n">
        <v>8</v>
      </c>
      <c r="G8" s="13" t="inlineStr">
        <is>
          <t>Configurations - SNOWUSEMTP-1624 / SNOWUSEMTP-1625: merged the Kafka producers into one script include called by the business rules on consequences, remediation tasks and vulnerable items, with the topic property chosen by the record's table, a synchronous send and the Kafka response shown on the record; restored the missing-field and payload messages in the processors. Delivered producer V1.5, consequence outbound V1.5 and VAMP outbound V2.3, each tested and previewed on import. Began SNOWUSEMTP-1639 with an analysis of the CDP IVR inbound build and the questions for the VAMP team, with the blockers marked.</t>
        </is>
      </c>
    </row>
    <row r="9" ht="54" customHeight="1">
      <c r="A9" s="16" t="inlineStr">
        <is>
          <t>26-Sep-2026</t>
        </is>
      </c>
      <c r="B9" s="17" t="inlineStr">
        <is>
          <t>24-Sep-2026</t>
        </is>
      </c>
      <c r="C9" s="17" t="inlineStr">
        <is>
          <t>Thu</t>
        </is>
      </c>
      <c r="D9" s="16" t="inlineStr">
        <is>
          <t>Documentation</t>
        </is>
      </c>
      <c r="E9" s="16" t="inlineStr">
        <is>
          <t>SNOWUSEMTP-1639</t>
        </is>
      </c>
      <c r="F9" s="18" t="n">
        <v>8</v>
      </c>
      <c r="G9" s="16" t="inlineStr">
        <is>
          <t>Documentation - SNOWUSEMTP-1639: produced the architecture overview of the CDP IVR inbound build (Kafka topic, stream, script consumer, import set, transform map and Detection API, with a link to every record on the development instance) and a companion document explaining the three transform map scripts step by step, from the staging row through host matching and the Detection API to the vulnerable item, with the questions the team is likely to raise answered from the code.</t>
        </is>
      </c>
    </row>
    <row r="10" ht="54" customHeight="1">
      <c r="A10" s="13" t="inlineStr">
        <is>
          <t>26-Sep-2026</t>
        </is>
      </c>
      <c r="B10" s="14" t="inlineStr">
        <is>
          <t>25-Sep-2026</t>
        </is>
      </c>
      <c r="C10" s="14" t="inlineStr">
        <is>
          <t>Fri</t>
        </is>
      </c>
      <c r="D10" s="13" t="inlineStr">
        <is>
          <t>Design</t>
        </is>
      </c>
      <c r="E10" s="13" t="inlineStr">
        <is>
          <t>SNOWUSEMTP-2125</t>
        </is>
      </c>
      <c r="F10" s="15" t="n">
        <v>8</v>
      </c>
      <c r="G10" s="13" t="inlineStr">
        <is>
          <t>Design - SNOWUSEMTP-2125: designed the architecture for bringing VAMP findings into Application Vulnerability Response over Hermes: script consumer and import set feeding a transform map whose scripts call the out-of-box AVR import API for the application release, application vulnerability entry and application vulnerable item, with the pen test assessment request handled by a lookup-or-create since no out-of-box API covers it. Delivered the diagram with the table of out-of-box code used, not used and not usable.</t>
        </is>
      </c>
    </row>
    <row r="11" ht="18" customHeight="1">
      <c r="A11" s="19" t="n"/>
      <c r="B11" s="19" t="n"/>
      <c r="C11" s="19" t="n"/>
      <c r="D11" s="19" t="n"/>
      <c r="E11" s="20" t="inlineStr">
        <is>
          <t>Week ending 26-Sep-2026  Subtotal</t>
        </is>
      </c>
      <c r="F11" s="21">
        <f>SUM(F6:F10)</f>
        <v>40</v>
      </c>
      <c r="G11" s="19" t="n"/>
    </row>
    <row r="13" ht="21.75" customHeight="1">
      <c r="A13" s="22" t="n"/>
      <c r="B13" s="22" t="n"/>
      <c r="C13" s="22" t="n"/>
      <c r="D13" s="22" t="n"/>
      <c r="E13" s="23" t="inlineStr">
        <is>
          <t>GRAND TOTAL (21-Sep to 25-Sep)</t>
        </is>
      </c>
      <c r="F13" s="24">
        <f>F11</f>
        <v>40</v>
      </c>
      <c r="G13" s="22" t="n"/>
    </row>
  </sheetData>
  <mergeCells count="3">
    <mergeCell ref="A3:G3"/>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
  <sheetViews>
    <sheetView workbookViewId="0">
      <pane ySplit="4" topLeftCell="A5" activePane="bottomLeft" state="frozen"/>
      <selection pane="bottomLeft" activeCell="A1" sqref="A1"/>
    </sheetView>
  </sheetViews>
  <sheetFormatPr baseColWidth="8" defaultRowHeight="15"/>
  <cols>
    <col width="12" customWidth="1" min="1" max="1"/>
    <col width="7" customWidth="1" min="2" max="2"/>
    <col width="15" customWidth="1" min="3" max="3"/>
    <col width="11" customWidth="1" min="4" max="4"/>
    <col width="9" customWidth="1" min="9" max="9"/>
    <col width="11" customWidth="1" min="10" max="10"/>
  </cols>
  <sheetData>
    <row r="1" ht="25.5" customHeight="1">
      <c r="A1" s="1" t="inlineStr">
        <is>
          <t>Reconciliation:  Deloitte T&amp;E  vs  ServiceNow Time Card</t>
        </is>
      </c>
    </row>
    <row r="2" ht="27.75" customHeight="1">
      <c r="A2" s="2" t="inlineStr">
        <is>
          <t>Deloitte is the system of record. Every daily and weekly total below is computed live and must read MATCH. SN Project + SN Training = Deloitte Worked. SN Sick = Deloitte Absence. The Deloitte columns hold the planned 8.00h per day for the week ending 26-Sep; replace them with the approved T&amp;E figures when available.</t>
        </is>
      </c>
    </row>
    <row r="4" ht="30" customHeight="1">
      <c r="A4" s="25" t="inlineStr">
        <is>
          <t>Date</t>
        </is>
      </c>
      <c r="B4" s="25" t="inlineStr">
        <is>
          <t>Day</t>
        </is>
      </c>
      <c r="C4" s="25" t="inlineStr">
        <is>
          <t>Deloitte Worked
(India Kolkata)</t>
        </is>
      </c>
      <c r="D4" s="25" t="inlineStr">
        <is>
          <t>Deloitte
Absence</t>
        </is>
      </c>
      <c r="E4" s="25" t="inlineStr">
        <is>
          <t>Deloitte
Total</t>
        </is>
      </c>
      <c r="F4" s="25" t="inlineStr">
        <is>
          <t>SN Project</t>
        </is>
      </c>
      <c r="G4" s="25" t="inlineStr">
        <is>
          <t>SN Training</t>
        </is>
      </c>
      <c r="H4" s="25" t="inlineStr">
        <is>
          <t>SN Sick</t>
        </is>
      </c>
      <c r="I4" s="25" t="inlineStr">
        <is>
          <t>SN
Total</t>
        </is>
      </c>
      <c r="J4" s="25" t="inlineStr">
        <is>
          <t>Match</t>
        </is>
      </c>
    </row>
    <row r="5" ht="18" customHeight="1">
      <c r="A5" s="26" t="inlineStr">
        <is>
          <t>Week ending 26-Sep-2026</t>
        </is>
      </c>
    </row>
    <row r="6" ht="15" customHeight="1">
      <c r="A6" s="14" t="inlineStr">
        <is>
          <t>21-Sep-2026</t>
        </is>
      </c>
      <c r="B6" s="14" t="inlineStr">
        <is>
          <t>Mon</t>
        </is>
      </c>
      <c r="C6" s="15" t="n">
        <v>8</v>
      </c>
      <c r="D6" s="15" t="n">
        <v>0</v>
      </c>
      <c r="E6" s="15">
        <f>C6+D6</f>
        <v>8</v>
      </c>
      <c r="F6" s="15" t="n">
        <v>8</v>
      </c>
      <c r="G6" s="15" t="n">
        <v>0</v>
      </c>
      <c r="H6" s="15" t="n">
        <v>0</v>
      </c>
      <c r="I6" s="15">
        <f>F6+G6+H6</f>
        <v>8</v>
      </c>
      <c r="J6" s="14" t="str">
        <f>IF(AND(E6=I6,C6=F6+G6,D6=H6),"MATCH","CHECK")</f>
        <v>MATCH</v>
      </c>
    </row>
    <row r="7" ht="15" customHeight="1">
      <c r="A7" s="17" t="inlineStr">
        <is>
          <t>22-Sep-2026</t>
        </is>
      </c>
      <c r="B7" s="17" t="inlineStr">
        <is>
          <t>Tue</t>
        </is>
      </c>
      <c r="C7" s="18" t="n">
        <v>8</v>
      </c>
      <c r="D7" s="18" t="n">
        <v>0</v>
      </c>
      <c r="E7" s="18">
        <f>C7+D7</f>
        <v>8</v>
      </c>
      <c r="F7" s="18" t="n">
        <v>8</v>
      </c>
      <c r="G7" s="18" t="n">
        <v>0</v>
      </c>
      <c r="H7" s="18" t="n">
        <v>0</v>
      </c>
      <c r="I7" s="18">
        <f>F7+G7+H7</f>
        <v>8</v>
      </c>
      <c r="J7" s="17" t="str">
        <f>IF(AND(E7=I7,C7=F7+G7,D7=H7),"MATCH","CHECK")</f>
        <v>MATCH</v>
      </c>
    </row>
    <row r="8" ht="15" customHeight="1">
      <c r="A8" s="14" t="inlineStr">
        <is>
          <t>23-Sep-2026</t>
        </is>
      </c>
      <c r="B8" s="14" t="inlineStr">
        <is>
          <t>Wed</t>
        </is>
      </c>
      <c r="C8" s="15" t="n">
        <v>8</v>
      </c>
      <c r="D8" s="15" t="n">
        <v>0</v>
      </c>
      <c r="E8" s="15">
        <f>C8+D8</f>
        <v>8</v>
      </c>
      <c r="F8" s="15" t="n">
        <v>8</v>
      </c>
      <c r="G8" s="15" t="n">
        <v>0</v>
      </c>
      <c r="H8" s="15" t="n">
        <v>0</v>
      </c>
      <c r="I8" s="15">
        <f>F8+G8+H8</f>
        <v>8</v>
      </c>
      <c r="J8" s="14" t="str">
        <f>IF(AND(E8=I8,C8=F8+G8,D8=H8),"MATCH","CHECK")</f>
        <v>MATCH</v>
      </c>
    </row>
    <row r="9" ht="15" customHeight="1">
      <c r="A9" s="17" t="inlineStr">
        <is>
          <t>24-Sep-2026</t>
        </is>
      </c>
      <c r="B9" s="17" t="inlineStr">
        <is>
          <t>Thu</t>
        </is>
      </c>
      <c r="C9" s="18" t="n">
        <v>8</v>
      </c>
      <c r="D9" s="18" t="n">
        <v>0</v>
      </c>
      <c r="E9" s="18">
        <f>C9+D9</f>
        <v>8</v>
      </c>
      <c r="F9" s="18" t="n">
        <v>8</v>
      </c>
      <c r="G9" s="18" t="n">
        <v>0</v>
      </c>
      <c r="H9" s="18" t="n">
        <v>0</v>
      </c>
      <c r="I9" s="18">
        <f>F9+G9+H9</f>
        <v>8</v>
      </c>
      <c r="J9" s="17" t="str">
        <f>IF(AND(E9=I9,C9=F9+G9,D9=H9),"MATCH","CHECK")</f>
        <v>MATCH</v>
      </c>
    </row>
    <row r="10" ht="15" customHeight="1">
      <c r="A10" s="14" t="inlineStr">
        <is>
          <t>25-Sep-2026</t>
        </is>
      </c>
      <c r="B10" s="14" t="inlineStr">
        <is>
          <t>Fri</t>
        </is>
      </c>
      <c r="C10" s="15" t="n">
        <v>8</v>
      </c>
      <c r="D10" s="15" t="n">
        <v>0</v>
      </c>
      <c r="E10" s="15">
        <f>C10+D10</f>
        <v>8</v>
      </c>
      <c r="F10" s="15" t="n">
        <v>8</v>
      </c>
      <c r="G10" s="15" t="n">
        <v>0</v>
      </c>
      <c r="H10" s="15" t="n">
        <v>0</v>
      </c>
      <c r="I10" s="15">
        <f>F10+G10+H10</f>
        <v>8</v>
      </c>
      <c r="J10" s="14" t="str">
        <f>IF(AND(E10=I10,C10=F10+G10,D10=H10),"MATCH","CHECK")</f>
        <v>MATCH</v>
      </c>
    </row>
    <row r="11" ht="18" customHeight="1">
      <c r="A11" s="20" t="inlineStr">
        <is>
          <t>Subtotal</t>
        </is>
      </c>
      <c r="B11" s="19" t="n"/>
      <c r="C11" s="21">
        <f>SUM(C6:C10)</f>
        <v>40</v>
      </c>
      <c r="D11" s="21">
        <f>SUM(D6:D10)</f>
        <v>0</v>
      </c>
      <c r="E11" s="21">
        <f>SUM(E6:E10)</f>
        <v>40</v>
      </c>
      <c r="F11" s="21">
        <f>SUM(F6:F10)</f>
        <v>40</v>
      </c>
      <c r="G11" s="21">
        <f>SUM(G6:G10)</f>
        <v>0</v>
      </c>
      <c r="H11" s="21">
        <f>SUM(H6:H10)</f>
        <v>0</v>
      </c>
      <c r="I11" s="21">
        <f>SUM(I6:I10)</f>
        <v>40</v>
      </c>
      <c r="J11" s="27" t="str">
        <f>IF(AND(E11=I11,C11=F11+G11,D11=H11),"MATCH","CHECK")</f>
        <v>MATCH</v>
      </c>
    </row>
    <row r="13" ht="21.75" customHeight="1">
      <c r="A13" s="23" t="inlineStr">
        <is>
          <t>GRAND TOTAL</t>
        </is>
      </c>
      <c r="B13" s="22" t="n"/>
      <c r="C13" s="24">
        <f>C11</f>
        <v>40</v>
      </c>
      <c r="D13" s="24">
        <f>D11</f>
        <v>0</v>
      </c>
      <c r="E13" s="24">
        <f>E11</f>
        <v>40</v>
      </c>
      <c r="F13" s="24">
        <f>F11</f>
        <v>40</v>
      </c>
      <c r="G13" s="24">
        <f>G11</f>
        <v>0</v>
      </c>
      <c r="H13" s="24">
        <f>H11</f>
        <v>0</v>
      </c>
      <c r="I13" s="24">
        <f>I11</f>
        <v>40</v>
      </c>
      <c r="J13" s="28" t="str">
        <f>IF(AND(E13=I13,C13=F13+G13,D13=H13),"MATCH","CHECK")</f>
        <v>MATCH</v>
      </c>
    </row>
    <row r="15" ht="27" customHeight="1">
      <c r="A15" s="11" t="inlineStr">
        <is>
          <t>Source of record: Deloitte T&amp;E timesheet, week ending 26-Sep-2026 (Deloitte columns entered as the planned 8.00h per day; confirm against the approved timesheet).</t>
        </is>
      </c>
    </row>
    <row r="16" ht="13.5" customHeight="1">
      <c r="A16" s="11" t="inlineStr">
        <is>
          <t>Week ending 26-Sep: Mon to Fri 8.00h on the India Kolkata worked line; weekly 40.00, Worked 40.00, Absence 0.00.</t>
        </is>
      </c>
    </row>
    <row r="17" ht="27" customHeight="1">
      <c r="A17" s="11" t="inlineStr">
        <is>
          <t>Mapping rule: SN Project + SN Training reconcile to Deloitte Worked; SN Sick reconciles to Deloitte Absence; daily and weekly totals are identical.</t>
        </is>
      </c>
    </row>
    <row r="18" ht="27" customHeight="1">
      <c r="A18" s="11" t="inlineStr">
        <is>
          <t>Activity notes are drawn from the engagement work on SNOWUSEMTP-895 (lookup rules demo deck), SNOWUSEMTP-1624 and SNOWUSEMTP-1625 (consequence outbound and the merged Kafka producer), SNOWUSEMTP-1804 (VAMP outbound), SNOWUSEMTP-1639 (VAMP inbound analysis) and SNOWUSEMTP-2125 (VAMP into Application Vulnerability Response).</t>
        </is>
      </c>
    </row>
  </sheetData>
  <mergeCells count="7">
    <mergeCell ref="A1:J1"/>
    <mergeCell ref="A5:J5"/>
    <mergeCell ref="A17:J17"/>
    <mergeCell ref="A2:J2"/>
    <mergeCell ref="A18:J18"/>
    <mergeCell ref="A15:J15"/>
    <mergeCell ref="A16:J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Mihir Kumar Singh</dc:creator>
  <dcterms:created xmlns:dcterms="http://purl.org/dc/terms/" xmlns:xsi="http://www.w3.org/2001/XMLSchema-instance" xsi:type="dcterms:W3CDTF">2026-09-26T03:52:55Z</dcterms:created>
  <dcterms:modified xmlns:dcterms="http://purl.org/dc/terms/" xmlns:xsi="http://www.w3.org/2001/XMLSchema-instance" xsi:type="dcterms:W3CDTF">2026-09-26T03:52:55Z</dcterms:modified>
  <cp:lastModifiedBy>Mihir Kumar Singh</cp:lastModifiedBy>
</cp:coreProperties>
</file>